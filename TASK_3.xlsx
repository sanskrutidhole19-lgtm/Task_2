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\Excel\TASK_GITHUB\TASK_3\"/>
    </mc:Choice>
  </mc:AlternateContent>
  <xr:revisionPtr revIDLastSave="0" documentId="13_ncr:1_{19AC9A1D-436D-41AE-9A44-8CC70D7555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0" i="1" l="1"/>
  <c r="D149" i="1"/>
  <c r="D148" i="1"/>
  <c r="D147" i="1"/>
  <c r="D146" i="1"/>
  <c r="D140" i="1"/>
  <c r="D139" i="1"/>
  <c r="D138" i="1"/>
  <c r="D137" i="1"/>
  <c r="D136" i="1"/>
  <c r="D130" i="1"/>
  <c r="D129" i="1"/>
  <c r="D128" i="1"/>
  <c r="D127" i="1"/>
  <c r="D126" i="1"/>
  <c r="D120" i="1"/>
  <c r="D119" i="1"/>
  <c r="D118" i="1"/>
  <c r="D117" i="1"/>
  <c r="D116" i="1"/>
  <c r="D110" i="1"/>
  <c r="D109" i="1"/>
  <c r="D108" i="1"/>
  <c r="D107" i="1"/>
  <c r="D106" i="1"/>
  <c r="D100" i="1"/>
  <c r="D99" i="1"/>
  <c r="D98" i="1"/>
  <c r="D97" i="1"/>
  <c r="D96" i="1"/>
  <c r="D90" i="1"/>
  <c r="D89" i="1"/>
  <c r="D88" i="1"/>
  <c r="D87" i="1"/>
  <c r="D86" i="1"/>
  <c r="D80" i="1"/>
  <c r="D79" i="1"/>
  <c r="D78" i="1"/>
  <c r="D77" i="1"/>
  <c r="D76" i="1"/>
  <c r="D70" i="1"/>
  <c r="D69" i="1"/>
  <c r="D68" i="1"/>
  <c r="D67" i="1"/>
  <c r="D66" i="1"/>
  <c r="D60" i="1"/>
  <c r="D59" i="1"/>
  <c r="D58" i="1"/>
  <c r="D57" i="1"/>
  <c r="D56" i="1"/>
  <c r="D50" i="1"/>
  <c r="D49" i="1"/>
  <c r="D48" i="1"/>
  <c r="D47" i="1"/>
  <c r="D46" i="1"/>
  <c r="D40" i="1"/>
  <c r="D39" i="1"/>
  <c r="D38" i="1"/>
  <c r="D37" i="1"/>
  <c r="D36" i="1"/>
  <c r="D30" i="1"/>
  <c r="D29" i="1"/>
  <c r="D28" i="1"/>
  <c r="D27" i="1"/>
  <c r="D26" i="1"/>
  <c r="D20" i="1"/>
  <c r="D19" i="1"/>
  <c r="D18" i="1"/>
  <c r="D17" i="1"/>
  <c r="D16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<sst xmlns="http://schemas.openxmlformats.org/spreadsheetml/2006/main" count="176" uniqueCount="125">
  <si>
    <t xml:space="preserve"> DIFFERENT TYPES OF EXCEL TEXT FUNCTIONS</t>
  </si>
  <si>
    <t>1. UPPER</t>
  </si>
  <si>
    <t>Defination :- Converts all text into uppercase letters.</t>
  </si>
  <si>
    <t>Syntax :- =UPPER(text)</t>
  </si>
  <si>
    <t>S.No</t>
  </si>
  <si>
    <t>Value</t>
  </si>
  <si>
    <t>Formula------&gt;Output</t>
  </si>
  <si>
    <t>nagpur</t>
  </si>
  <si>
    <t>delhi</t>
  </si>
  <si>
    <t>pune</t>
  </si>
  <si>
    <t>mumbai</t>
  </si>
  <si>
    <t>hyderabad</t>
  </si>
  <si>
    <t>2. LOWER</t>
  </si>
  <si>
    <t>Defination :- Converts text into lowercase letters.</t>
  </si>
  <si>
    <t xml:space="preserve">Syntax :- </t>
  </si>
  <si>
    <t>MANGO</t>
  </si>
  <si>
    <t>APPLE</t>
  </si>
  <si>
    <t>BANANA</t>
  </si>
  <si>
    <t>ORANGE</t>
  </si>
  <si>
    <t>GRAPES</t>
  </si>
  <si>
    <t>3. PROPER</t>
  </si>
  <si>
    <t>Defination :- Capitalizes the first letter of each word.</t>
  </si>
  <si>
    <t>Syntax :- =PROPER(text)</t>
  </si>
  <si>
    <t>HELLO WORLD</t>
  </si>
  <si>
    <t>excel trainer</t>
  </si>
  <si>
    <t>INDIAN COUNTRY</t>
  </si>
  <si>
    <t>computer science</t>
  </si>
  <si>
    <t>DATA ANALYST</t>
  </si>
  <si>
    <t xml:space="preserve">4.CHAR </t>
  </si>
  <si>
    <t>Defination :-Returns a character based on ASCII code.</t>
  </si>
  <si>
    <t>Syntax :-=CHAR(number)</t>
  </si>
  <si>
    <t>5. LEN</t>
  </si>
  <si>
    <t>Defination :- Counts the number of characters in text.</t>
  </si>
  <si>
    <t xml:space="preserve">Syntax =LEN(text) </t>
  </si>
  <si>
    <t>BAT</t>
  </si>
  <si>
    <t>CHARACTERS</t>
  </si>
  <si>
    <t>AASTHA</t>
  </si>
  <si>
    <t>DATA</t>
  </si>
  <si>
    <t>6. LEFT</t>
  </si>
  <si>
    <t>Defination :- Extracts characters from the left side.</t>
  </si>
  <si>
    <t>Syntax :- =LEFT(text,num_chars)</t>
  </si>
  <si>
    <t>MICROSOFT</t>
  </si>
  <si>
    <t>EXTEACTS</t>
  </si>
  <si>
    <t>FROM</t>
  </si>
  <si>
    <t>LEFT</t>
  </si>
  <si>
    <t>SIDE</t>
  </si>
  <si>
    <t>7. RIGHT</t>
  </si>
  <si>
    <t>Defination :- Extracts characters from the right side.</t>
  </si>
  <si>
    <t>Syntax :- =RIGHT(text,num_chars)</t>
  </si>
  <si>
    <t>RIGHT</t>
  </si>
  <si>
    <t>DOWN</t>
  </si>
  <si>
    <t>LOWER</t>
  </si>
  <si>
    <t>TRAINER</t>
  </si>
  <si>
    <t>8. MID</t>
  </si>
  <si>
    <t>Defination :- Extracts characters from the middle of text.</t>
  </si>
  <si>
    <t>Syntax :- =MID(text,start_num,num_chars)</t>
  </si>
  <si>
    <t>EDUKOTA</t>
  </si>
  <si>
    <t>NANOTE</t>
  </si>
  <si>
    <t>GOOGLE</t>
  </si>
  <si>
    <t>FUNCTION</t>
  </si>
  <si>
    <t>GETPLUS</t>
  </si>
  <si>
    <t>9. CONCAT</t>
  </si>
  <si>
    <t>Defination :- Joins multiple text strings.</t>
  </si>
  <si>
    <t>Syntax :- =CONCAT(text1,text2,...)</t>
  </si>
  <si>
    <t>MUMMY</t>
  </si>
  <si>
    <t>PAPA</t>
  </si>
  <si>
    <t>SWAROOP</t>
  </si>
  <si>
    <t>MRUNALI</t>
  </si>
  <si>
    <t>ARYAN</t>
  </si>
  <si>
    <t>ASMITA</t>
  </si>
  <si>
    <t>SHRIYALI</t>
  </si>
  <si>
    <t>ADITYA</t>
  </si>
  <si>
    <t>RISHI</t>
  </si>
  <si>
    <t>10. CONCATENATE</t>
  </si>
  <si>
    <t>Defination :- Combines text from multiple cells (older function).</t>
  </si>
  <si>
    <t>Syntax :- =CONCATENATE(text1,text2,...)</t>
  </si>
  <si>
    <t>ANALYST</t>
  </si>
  <si>
    <t>COMPUTER</t>
  </si>
  <si>
    <t>TOOLS</t>
  </si>
  <si>
    <t>ARC</t>
  </si>
  <si>
    <t>INSTITUDE</t>
  </si>
  <si>
    <t>HELLO</t>
  </si>
  <si>
    <t>WORLD</t>
  </si>
  <si>
    <t>CON</t>
  </si>
  <si>
    <t>CATENATE</t>
  </si>
  <si>
    <t>11. TRIM</t>
  </si>
  <si>
    <t>Defination :- Removes extra spaces from text.</t>
  </si>
  <si>
    <t>Syntax :- =TRIM(text)</t>
  </si>
  <si>
    <t>RITESH         MOHIT</t>
  </si>
  <si>
    <t>ROHIT REETU</t>
  </si>
  <si>
    <t>RISHIKESH           SOCIETY</t>
  </si>
  <si>
    <t>RUDRA              BOLL</t>
  </si>
  <si>
    <t>RAKESH                BAT</t>
  </si>
  <si>
    <t>12. FIND</t>
  </si>
  <si>
    <t>Defination :- Finds the position of a character in text (case-sensitive).</t>
  </si>
  <si>
    <t>Syntax :- =FIND(find_text,within_text)</t>
  </si>
  <si>
    <t>WHATSAPP</t>
  </si>
  <si>
    <t>INSTRAGRAM</t>
  </si>
  <si>
    <t>SNAPCHAT</t>
  </si>
  <si>
    <t>TELEGRAM</t>
  </si>
  <si>
    <t>DOCUMENT</t>
  </si>
  <si>
    <t>13. EXACT</t>
  </si>
  <si>
    <t>Defination :- Compares two text values and checks if they are exactly the same.</t>
  </si>
  <si>
    <t>Syntax :- =EXACT(text1,text2)</t>
  </si>
  <si>
    <t>EXCEL</t>
  </si>
  <si>
    <t>excel</t>
  </si>
  <si>
    <t>ARUN</t>
  </si>
  <si>
    <t>ARJUN</t>
  </si>
  <si>
    <t>NUMBER</t>
  </si>
  <si>
    <t>TEXT</t>
  </si>
  <si>
    <t>text</t>
  </si>
  <si>
    <t>14. SUBSTITUTE</t>
  </si>
  <si>
    <t>Defination :- Replaces specific text in a string.</t>
  </si>
  <si>
    <t>Syntax :- =SUBSTITUTE(text,old_text,new_text)</t>
  </si>
  <si>
    <t>SANSKRUTI</t>
  </si>
  <si>
    <t>SHOP</t>
  </si>
  <si>
    <t>DRINK</t>
  </si>
  <si>
    <t>15. REPT</t>
  </si>
  <si>
    <t>Defination :- Repeats text multiple times.</t>
  </si>
  <si>
    <t>Syntax :- =REPT(text,number_times)</t>
  </si>
  <si>
    <t>HOT</t>
  </si>
  <si>
    <t>COLD</t>
  </si>
  <si>
    <t>WATER</t>
  </si>
  <si>
    <t>HOUSE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</si>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</sst>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22"/>
      <color theme="1"/>
      <name val="Times New Roman"/>
      <family val="1"/>
    </font>
    <font>
      <sz val="20"/>
      <color theme="1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vertical="center"/>
    </xf>
    <xf numFmtId="0" fontId="6" fillId="7" borderId="4" xfId="0" applyFont="1" applyFill="1" applyBorder="1" applyAlignment="1">
      <alignment horizontal="center"/>
    </xf>
    <xf numFmtId="0" fontId="6" fillId="7" borderId="4" xfId="0" applyFont="1" applyFill="1" applyBorder="1"/>
    <xf numFmtId="0" fontId="0" fillId="7" borderId="5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5"/>
  <sheetViews>
    <sheetView tabSelected="1" workbookViewId="0">
      <selection activeCell="G9" sqref="G9"/>
    </sheetView>
  </sheetViews>
  <sheetFormatPr defaultRowHeight="14.4" x14ac:dyDescent="0.3"/>
  <cols>
    <col min="1" max="1" width="10.5546875" customWidth="1"/>
    <col min="2" max="2" width="37.33203125" customWidth="1"/>
    <col min="3" max="3" width="32.21875" customWidth="1"/>
    <col min="4" max="4" width="45.88671875" customWidth="1"/>
  </cols>
  <sheetData>
    <row r="1" spans="1:4" ht="28.2" x14ac:dyDescent="0.3">
      <c r="A1" s="1" t="s">
        <v>0</v>
      </c>
      <c r="B1" s="2"/>
      <c r="C1" s="2"/>
      <c r="D1" s="3"/>
    </row>
    <row r="2" spans="1:4" ht="25.2" x14ac:dyDescent="0.3">
      <c r="A2" s="4" t="s">
        <v>1</v>
      </c>
      <c r="B2" s="5"/>
      <c r="C2" s="5"/>
      <c r="D2" s="6"/>
    </row>
    <row r="3" spans="1:4" ht="22.8" x14ac:dyDescent="0.3">
      <c r="A3" s="7" t="s">
        <v>2</v>
      </c>
      <c r="B3" s="8"/>
      <c r="C3" s="8"/>
      <c r="D3" s="9"/>
    </row>
    <row r="4" spans="1:4" ht="21" x14ac:dyDescent="0.3">
      <c r="A4" s="10" t="s">
        <v>3</v>
      </c>
      <c r="B4" s="11"/>
      <c r="C4" s="11"/>
      <c r="D4" s="12"/>
    </row>
    <row r="5" spans="1:4" ht="18" x14ac:dyDescent="0.3">
      <c r="A5" s="13" t="s">
        <v>4</v>
      </c>
      <c r="B5" s="14" t="s">
        <v>5</v>
      </c>
      <c r="C5" s="15"/>
      <c r="D5" s="13" t="s">
        <v>6</v>
      </c>
    </row>
    <row r="6" spans="1:4" ht="15.6" x14ac:dyDescent="0.3">
      <c r="A6" s="16">
        <v>1</v>
      </c>
      <c r="B6" s="16" t="s">
        <v>7</v>
      </c>
      <c r="C6" s="17"/>
      <c r="D6" s="16" t="str">
        <f>UPPER(B6)</f>
        <v>NAGPUR</v>
      </c>
    </row>
    <row r="7" spans="1:4" ht="15.6" x14ac:dyDescent="0.3">
      <c r="A7" s="16">
        <v>2</v>
      </c>
      <c r="B7" s="16" t="s">
        <v>8</v>
      </c>
      <c r="C7" s="17"/>
      <c r="D7" s="16" t="str">
        <f>UPPER(B7)</f>
        <v>DELHI</v>
      </c>
    </row>
    <row r="8" spans="1:4" ht="15.6" x14ac:dyDescent="0.3">
      <c r="A8" s="16">
        <v>3</v>
      </c>
      <c r="B8" s="16" t="s">
        <v>9</v>
      </c>
      <c r="C8" s="17"/>
      <c r="D8" s="16" t="str">
        <f t="shared" ref="D8:D10" si="0">UPPER(B8)</f>
        <v>PUNE</v>
      </c>
    </row>
    <row r="9" spans="1:4" ht="15.6" x14ac:dyDescent="0.3">
      <c r="A9" s="16">
        <v>4</v>
      </c>
      <c r="B9" s="16" t="s">
        <v>10</v>
      </c>
      <c r="C9" s="17"/>
      <c r="D9" s="16" t="str">
        <f t="shared" si="0"/>
        <v>MUMBAI</v>
      </c>
    </row>
    <row r="10" spans="1:4" ht="15.6" x14ac:dyDescent="0.3">
      <c r="A10" s="16">
        <v>5</v>
      </c>
      <c r="B10" s="16" t="s">
        <v>11</v>
      </c>
      <c r="C10" s="17"/>
      <c r="D10" s="16" t="str">
        <f t="shared" si="0"/>
        <v>HYDERABAD</v>
      </c>
    </row>
    <row r="11" spans="1:4" x14ac:dyDescent="0.3">
      <c r="A11" s="18"/>
      <c r="B11" s="18"/>
      <c r="C11" s="19"/>
      <c r="D11" s="18"/>
    </row>
    <row r="12" spans="1:4" ht="25.2" x14ac:dyDescent="0.3">
      <c r="A12" s="4" t="s">
        <v>12</v>
      </c>
      <c r="B12" s="5"/>
      <c r="C12" s="5"/>
      <c r="D12" s="6"/>
    </row>
    <row r="13" spans="1:4" ht="22.8" x14ac:dyDescent="0.3">
      <c r="A13" s="7" t="s">
        <v>13</v>
      </c>
      <c r="B13" s="8"/>
      <c r="C13" s="8"/>
      <c r="D13" s="9"/>
    </row>
    <row r="14" spans="1:4" ht="21" x14ac:dyDescent="0.3">
      <c r="A14" s="10" t="s">
        <v>14</v>
      </c>
      <c r="B14" s="11"/>
      <c r="C14" s="11"/>
      <c r="D14" s="12"/>
    </row>
    <row r="15" spans="1:4" ht="18" x14ac:dyDescent="0.3">
      <c r="A15" s="13" t="s">
        <v>4</v>
      </c>
      <c r="B15" s="14" t="s">
        <v>5</v>
      </c>
      <c r="C15" s="15"/>
      <c r="D15" s="13" t="s">
        <v>6</v>
      </c>
    </row>
    <row r="16" spans="1:4" ht="15.6" x14ac:dyDescent="0.3">
      <c r="A16" s="16">
        <v>1</v>
      </c>
      <c r="B16" s="16" t="s">
        <v>15</v>
      </c>
      <c r="C16" s="16"/>
      <c r="D16" s="16" t="str">
        <f>LOWER(B16)</f>
        <v>mango</v>
      </c>
    </row>
    <row r="17" spans="1:4" ht="15.6" x14ac:dyDescent="0.3">
      <c r="A17" s="16">
        <v>2</v>
      </c>
      <c r="B17" s="16" t="s">
        <v>16</v>
      </c>
      <c r="C17" s="16"/>
      <c r="D17" s="16" t="str">
        <f t="shared" ref="D17:D20" si="1">LOWER(B17)</f>
        <v>apple</v>
      </c>
    </row>
    <row r="18" spans="1:4" ht="15.6" x14ac:dyDescent="0.3">
      <c r="A18" s="16">
        <v>3</v>
      </c>
      <c r="B18" s="16" t="s">
        <v>17</v>
      </c>
      <c r="C18" s="16"/>
      <c r="D18" s="16" t="str">
        <f t="shared" si="1"/>
        <v>banana</v>
      </c>
    </row>
    <row r="19" spans="1:4" ht="15.6" x14ac:dyDescent="0.3">
      <c r="A19" s="16">
        <v>4</v>
      </c>
      <c r="B19" s="16" t="s">
        <v>18</v>
      </c>
      <c r="C19" s="16"/>
      <c r="D19" s="16" t="str">
        <f t="shared" si="1"/>
        <v>orange</v>
      </c>
    </row>
    <row r="20" spans="1:4" ht="15.6" x14ac:dyDescent="0.3">
      <c r="A20" s="16">
        <v>5</v>
      </c>
      <c r="B20" s="16" t="s">
        <v>19</v>
      </c>
      <c r="C20" s="16"/>
      <c r="D20" s="16" t="str">
        <f t="shared" si="1"/>
        <v>grapes</v>
      </c>
    </row>
    <row r="21" spans="1:4" ht="15.6" x14ac:dyDescent="0.3">
      <c r="A21" s="16"/>
      <c r="B21" s="16"/>
      <c r="C21" s="16"/>
      <c r="D21" s="16"/>
    </row>
    <row r="22" spans="1:4" ht="25.2" x14ac:dyDescent="0.3">
      <c r="A22" s="4" t="s">
        <v>20</v>
      </c>
      <c r="B22" s="5"/>
      <c r="C22" s="5"/>
      <c r="D22" s="6"/>
    </row>
    <row r="23" spans="1:4" ht="22.8" x14ac:dyDescent="0.3">
      <c r="A23" s="7" t="s">
        <v>21</v>
      </c>
      <c r="B23" s="8"/>
      <c r="C23" s="8"/>
      <c r="D23" s="9"/>
    </row>
    <row r="24" spans="1:4" ht="21" x14ac:dyDescent="0.3">
      <c r="A24" s="10" t="s">
        <v>22</v>
      </c>
      <c r="B24" s="11"/>
      <c r="C24" s="11"/>
      <c r="D24" s="12"/>
    </row>
    <row r="25" spans="1:4" ht="18" x14ac:dyDescent="0.3">
      <c r="A25" s="13" t="s">
        <v>4</v>
      </c>
      <c r="B25" s="14" t="s">
        <v>5</v>
      </c>
      <c r="C25" s="15"/>
      <c r="D25" s="13" t="s">
        <v>6</v>
      </c>
    </row>
    <row r="26" spans="1:4" ht="15.6" x14ac:dyDescent="0.3">
      <c r="A26" s="16">
        <v>1</v>
      </c>
      <c r="B26" s="16" t="s">
        <v>23</v>
      </c>
      <c r="C26" s="16"/>
      <c r="D26" s="16" t="str">
        <f>PROPER(B26)</f>
        <v>Hello World</v>
      </c>
    </row>
    <row r="27" spans="1:4" ht="15.6" x14ac:dyDescent="0.3">
      <c r="A27" s="16">
        <v>2</v>
      </c>
      <c r="B27" s="16" t="s">
        <v>24</v>
      </c>
      <c r="C27" s="16"/>
      <c r="D27" s="16" t="str">
        <f t="shared" ref="D27:D30" si="2">PROPER(B27)</f>
        <v>Excel Trainer</v>
      </c>
    </row>
    <row r="28" spans="1:4" ht="15.6" x14ac:dyDescent="0.3">
      <c r="A28" s="16">
        <v>3</v>
      </c>
      <c r="B28" s="16" t="s">
        <v>25</v>
      </c>
      <c r="C28" s="16"/>
      <c r="D28" s="16" t="str">
        <f t="shared" si="2"/>
        <v>Indian Country</v>
      </c>
    </row>
    <row r="29" spans="1:4" ht="15.6" x14ac:dyDescent="0.3">
      <c r="A29" s="16">
        <v>4</v>
      </c>
      <c r="B29" s="16" t="s">
        <v>26</v>
      </c>
      <c r="C29" s="16"/>
      <c r="D29" s="16" t="str">
        <f t="shared" si="2"/>
        <v>Computer Science</v>
      </c>
    </row>
    <row r="30" spans="1:4" ht="15.6" x14ac:dyDescent="0.3">
      <c r="A30" s="16">
        <v>5</v>
      </c>
      <c r="B30" s="16" t="s">
        <v>27</v>
      </c>
      <c r="C30" s="16"/>
      <c r="D30" s="16" t="str">
        <f t="shared" si="2"/>
        <v>Data Analyst</v>
      </c>
    </row>
    <row r="31" spans="1:4" ht="15.6" x14ac:dyDescent="0.3">
      <c r="A31" s="16"/>
      <c r="B31" s="16"/>
      <c r="C31" s="16"/>
      <c r="D31" s="16"/>
    </row>
    <row r="32" spans="1:4" ht="25.2" x14ac:dyDescent="0.3">
      <c r="A32" s="4" t="s">
        <v>28</v>
      </c>
      <c r="B32" s="5"/>
      <c r="C32" s="5"/>
      <c r="D32" s="6"/>
    </row>
    <row r="33" spans="1:4" ht="22.8" x14ac:dyDescent="0.3">
      <c r="A33" s="7" t="s">
        <v>29</v>
      </c>
      <c r="B33" s="8"/>
      <c r="C33" s="8"/>
      <c r="D33" s="9"/>
    </row>
    <row r="34" spans="1:4" ht="21" x14ac:dyDescent="0.3">
      <c r="A34" s="10" t="s">
        <v>30</v>
      </c>
      <c r="B34" s="11"/>
      <c r="C34" s="11"/>
      <c r="D34" s="12"/>
    </row>
    <row r="35" spans="1:4" ht="18" x14ac:dyDescent="0.3">
      <c r="A35" s="13" t="s">
        <v>4</v>
      </c>
      <c r="B35" s="14" t="s">
        <v>5</v>
      </c>
      <c r="C35" s="15"/>
      <c r="D35" s="13" t="s">
        <v>6</v>
      </c>
    </row>
    <row r="36" spans="1:4" ht="15.6" x14ac:dyDescent="0.3">
      <c r="A36" s="16">
        <v>1</v>
      </c>
      <c r="B36" s="16">
        <v>65</v>
      </c>
      <c r="C36" s="16"/>
      <c r="D36" s="16" t="str">
        <f>CHAR(B36)</f>
        <v>A</v>
      </c>
    </row>
    <row r="37" spans="1:4" ht="15.6" x14ac:dyDescent="0.3">
      <c r="A37" s="16">
        <v>2</v>
      </c>
      <c r="B37" s="16">
        <v>114</v>
      </c>
      <c r="C37" s="16"/>
      <c r="D37" s="16" t="str">
        <f>CHAR(B37)</f>
        <v>r</v>
      </c>
    </row>
    <row r="38" spans="1:4" ht="15.6" x14ac:dyDescent="0.3">
      <c r="A38" s="16">
        <v>3</v>
      </c>
      <c r="B38" s="16">
        <v>121</v>
      </c>
      <c r="C38" s="16"/>
      <c r="D38" s="16" t="str">
        <f>CHAR(B38)</f>
        <v>y</v>
      </c>
    </row>
    <row r="39" spans="1:4" ht="15.6" x14ac:dyDescent="0.3">
      <c r="A39" s="16">
        <v>4</v>
      </c>
      <c r="B39" s="16">
        <v>97</v>
      </c>
      <c r="C39" s="16"/>
      <c r="D39" s="16" t="str">
        <f>CHAR(B39)</f>
        <v>a</v>
      </c>
    </row>
    <row r="40" spans="1:4" ht="15.6" x14ac:dyDescent="0.3">
      <c r="A40" s="16">
        <v>5</v>
      </c>
      <c r="B40" s="16">
        <v>110</v>
      </c>
      <c r="C40" s="16"/>
      <c r="D40" s="16" t="str">
        <f>CHAR(B40)</f>
        <v>n</v>
      </c>
    </row>
    <row r="41" spans="1:4" x14ac:dyDescent="0.3">
      <c r="A41" s="18"/>
      <c r="B41" s="18"/>
      <c r="C41" s="18"/>
      <c r="D41" s="18"/>
    </row>
    <row r="42" spans="1:4" ht="25.2" x14ac:dyDescent="0.3">
      <c r="A42" s="4" t="s">
        <v>31</v>
      </c>
      <c r="B42" s="5"/>
      <c r="C42" s="5"/>
      <c r="D42" s="6"/>
    </row>
    <row r="43" spans="1:4" ht="22.8" x14ac:dyDescent="0.3">
      <c r="A43" s="7" t="s">
        <v>32</v>
      </c>
      <c r="B43" s="8"/>
      <c r="C43" s="8"/>
      <c r="D43" s="9"/>
    </row>
    <row r="44" spans="1:4" ht="21" x14ac:dyDescent="0.3">
      <c r="A44" s="10" t="s">
        <v>33</v>
      </c>
      <c r="B44" s="11"/>
      <c r="C44" s="11"/>
      <c r="D44" s="12"/>
    </row>
    <row r="45" spans="1:4" ht="18" x14ac:dyDescent="0.3">
      <c r="A45" s="13" t="s">
        <v>4</v>
      </c>
      <c r="B45" s="14" t="s">
        <v>5</v>
      </c>
      <c r="C45" s="15"/>
      <c r="D45" s="13" t="s">
        <v>6</v>
      </c>
    </row>
    <row r="46" spans="1:4" ht="15.6" x14ac:dyDescent="0.3">
      <c r="A46" s="16">
        <v>1</v>
      </c>
      <c r="B46" s="16" t="s">
        <v>16</v>
      </c>
      <c r="C46" s="16"/>
      <c r="D46" s="16">
        <f>LEN(B46)</f>
        <v>5</v>
      </c>
    </row>
    <row r="47" spans="1:4" ht="15.6" x14ac:dyDescent="0.3">
      <c r="A47" s="16">
        <v>2</v>
      </c>
      <c r="B47" s="16" t="s">
        <v>34</v>
      </c>
      <c r="C47" s="16"/>
      <c r="D47" s="16">
        <f t="shared" ref="D47:D50" si="3">LEN(B47)</f>
        <v>3</v>
      </c>
    </row>
    <row r="48" spans="1:4" ht="15.6" x14ac:dyDescent="0.3">
      <c r="A48" s="16">
        <v>3</v>
      </c>
      <c r="B48" s="16" t="s">
        <v>35</v>
      </c>
      <c r="C48" s="16"/>
      <c r="D48" s="16">
        <f t="shared" si="3"/>
        <v>10</v>
      </c>
    </row>
    <row r="49" spans="1:4" ht="15.6" x14ac:dyDescent="0.3">
      <c r="A49" s="16">
        <v>4</v>
      </c>
      <c r="B49" s="16" t="s">
        <v>36</v>
      </c>
      <c r="C49" s="16"/>
      <c r="D49" s="16">
        <f t="shared" si="3"/>
        <v>6</v>
      </c>
    </row>
    <row r="50" spans="1:4" ht="15.6" x14ac:dyDescent="0.3">
      <c r="A50" s="16">
        <v>5</v>
      </c>
      <c r="B50" s="16" t="s">
        <v>37</v>
      </c>
      <c r="C50" s="16"/>
      <c r="D50" s="16">
        <f t="shared" si="3"/>
        <v>4</v>
      </c>
    </row>
    <row r="51" spans="1:4" ht="15.6" x14ac:dyDescent="0.3">
      <c r="A51" s="16"/>
      <c r="B51" s="16"/>
      <c r="C51" s="16"/>
      <c r="D51" s="16"/>
    </row>
    <row r="52" spans="1:4" ht="25.2" x14ac:dyDescent="0.3">
      <c r="A52" s="4" t="s">
        <v>38</v>
      </c>
      <c r="B52" s="5"/>
      <c r="C52" s="5"/>
      <c r="D52" s="6"/>
    </row>
    <row r="53" spans="1:4" ht="22.8" x14ac:dyDescent="0.3">
      <c r="A53" s="7" t="s">
        <v>39</v>
      </c>
      <c r="B53" s="8"/>
      <c r="C53" s="8"/>
      <c r="D53" s="9"/>
    </row>
    <row r="54" spans="1:4" ht="21" x14ac:dyDescent="0.3">
      <c r="A54" s="10" t="s">
        <v>40</v>
      </c>
      <c r="B54" s="11"/>
      <c r="C54" s="11"/>
      <c r="D54" s="12"/>
    </row>
    <row r="55" spans="1:4" ht="18" x14ac:dyDescent="0.3">
      <c r="A55" s="13" t="s">
        <v>4</v>
      </c>
      <c r="B55" s="14" t="s">
        <v>5</v>
      </c>
      <c r="C55" s="15"/>
      <c r="D55" s="13" t="s">
        <v>6</v>
      </c>
    </row>
    <row r="56" spans="1:4" ht="15.6" x14ac:dyDescent="0.3">
      <c r="A56" s="16">
        <v>1</v>
      </c>
      <c r="B56" s="20" t="s">
        <v>41</v>
      </c>
      <c r="C56" s="21"/>
      <c r="D56" s="16" t="str">
        <f>LEFT(B56,5)</f>
        <v>MICRO</v>
      </c>
    </row>
    <row r="57" spans="1:4" ht="15.6" x14ac:dyDescent="0.3">
      <c r="A57" s="16">
        <v>2</v>
      </c>
      <c r="B57" s="20" t="s">
        <v>42</v>
      </c>
      <c r="C57" s="21"/>
      <c r="D57" s="16" t="str">
        <f>LEFT(B57,4)</f>
        <v>EXTE</v>
      </c>
    </row>
    <row r="58" spans="1:4" ht="15.6" x14ac:dyDescent="0.3">
      <c r="A58" s="16">
        <v>3</v>
      </c>
      <c r="B58" s="16" t="s">
        <v>43</v>
      </c>
      <c r="C58" s="16"/>
      <c r="D58" s="16" t="str">
        <f>LEFT(B58,3)</f>
        <v>FRO</v>
      </c>
    </row>
    <row r="59" spans="1:4" ht="15.6" x14ac:dyDescent="0.3">
      <c r="A59" s="16">
        <v>4</v>
      </c>
      <c r="B59" s="20" t="s">
        <v>44</v>
      </c>
      <c r="C59" s="21"/>
      <c r="D59" s="16" t="str">
        <f>LEFT(B59,2)</f>
        <v>LE</v>
      </c>
    </row>
    <row r="60" spans="1:4" ht="15.6" x14ac:dyDescent="0.3">
      <c r="A60" s="16">
        <v>5</v>
      </c>
      <c r="B60" s="16" t="s">
        <v>45</v>
      </c>
      <c r="C60" s="16"/>
      <c r="D60" s="16" t="str">
        <f>LEFT(B60,1)</f>
        <v>S</v>
      </c>
    </row>
    <row r="61" spans="1:4" ht="15.6" x14ac:dyDescent="0.3">
      <c r="A61" s="16"/>
      <c r="B61" s="16"/>
      <c r="C61" s="16"/>
      <c r="D61" s="16"/>
    </row>
    <row r="62" spans="1:4" ht="25.2" x14ac:dyDescent="0.3">
      <c r="A62" s="4" t="s">
        <v>46</v>
      </c>
      <c r="B62" s="5"/>
      <c r="C62" s="5"/>
      <c r="D62" s="6"/>
    </row>
    <row r="63" spans="1:4" ht="22.8" x14ac:dyDescent="0.3">
      <c r="A63" s="7" t="s">
        <v>47</v>
      </c>
      <c r="B63" s="8"/>
      <c r="C63" s="8"/>
      <c r="D63" s="9"/>
    </row>
    <row r="64" spans="1:4" ht="21" x14ac:dyDescent="0.3">
      <c r="A64" s="10" t="s">
        <v>48</v>
      </c>
      <c r="B64" s="11"/>
      <c r="C64" s="11"/>
      <c r="D64" s="12"/>
    </row>
    <row r="65" spans="1:4" ht="18" x14ac:dyDescent="0.3">
      <c r="A65" s="13" t="s">
        <v>4</v>
      </c>
      <c r="B65" s="14" t="s">
        <v>5</v>
      </c>
      <c r="C65" s="15"/>
      <c r="D65" s="13" t="s">
        <v>6</v>
      </c>
    </row>
    <row r="66" spans="1:4" ht="15.6" x14ac:dyDescent="0.3">
      <c r="A66" s="16">
        <v>1</v>
      </c>
      <c r="B66" s="16" t="s">
        <v>49</v>
      </c>
      <c r="C66" s="16"/>
      <c r="D66" s="16" t="str">
        <f>RIGHT(B66,4)</f>
        <v>IGHT</v>
      </c>
    </row>
    <row r="67" spans="1:4" ht="15.6" x14ac:dyDescent="0.3">
      <c r="A67" s="16">
        <v>2</v>
      </c>
      <c r="B67" s="16" t="s">
        <v>44</v>
      </c>
      <c r="C67" s="16"/>
      <c r="D67" s="16" t="str">
        <f>RIGHT(B67,2)</f>
        <v>FT</v>
      </c>
    </row>
    <row r="68" spans="1:4" ht="15.6" x14ac:dyDescent="0.3">
      <c r="A68" s="16">
        <v>3</v>
      </c>
      <c r="B68" s="16" t="s">
        <v>50</v>
      </c>
      <c r="C68" s="16"/>
      <c r="D68" s="16" t="str">
        <f>RIGHT(B68,3)</f>
        <v>OWN</v>
      </c>
    </row>
    <row r="69" spans="1:4" ht="15.6" x14ac:dyDescent="0.3">
      <c r="A69" s="16">
        <v>4</v>
      </c>
      <c r="B69" s="16" t="s">
        <v>51</v>
      </c>
      <c r="C69" s="16"/>
      <c r="D69" s="16" t="str">
        <f>RIGHT(B69,1)</f>
        <v>R</v>
      </c>
    </row>
    <row r="70" spans="1:4" ht="15.6" x14ac:dyDescent="0.3">
      <c r="A70" s="16">
        <v>5</v>
      </c>
      <c r="B70" s="16" t="s">
        <v>52</v>
      </c>
      <c r="C70" s="16"/>
      <c r="D70" s="16" t="str">
        <f t="shared" ref="D70" si="4">RIGHT(B70,4)</f>
        <v>INER</v>
      </c>
    </row>
    <row r="71" spans="1:4" ht="15.6" x14ac:dyDescent="0.3">
      <c r="A71" s="16"/>
      <c r="B71" s="16"/>
      <c r="C71" s="16"/>
      <c r="D71" s="16"/>
    </row>
    <row r="72" spans="1:4" ht="25.2" x14ac:dyDescent="0.3">
      <c r="A72" s="4" t="s">
        <v>53</v>
      </c>
      <c r="B72" s="5"/>
      <c r="C72" s="5"/>
      <c r="D72" s="6"/>
    </row>
    <row r="73" spans="1:4" ht="22.8" x14ac:dyDescent="0.3">
      <c r="A73" s="7" t="s">
        <v>54</v>
      </c>
      <c r="B73" s="8"/>
      <c r="C73" s="8"/>
      <c r="D73" s="9"/>
    </row>
    <row r="74" spans="1:4" ht="21" x14ac:dyDescent="0.3">
      <c r="A74" s="10" t="s">
        <v>55</v>
      </c>
      <c r="B74" s="11"/>
      <c r="C74" s="11"/>
      <c r="D74" s="12"/>
    </row>
    <row r="75" spans="1:4" ht="18" x14ac:dyDescent="0.3">
      <c r="A75" s="13" t="s">
        <v>4</v>
      </c>
      <c r="B75" s="14" t="s">
        <v>5</v>
      </c>
      <c r="C75" s="15"/>
      <c r="D75" s="13" t="s">
        <v>6</v>
      </c>
    </row>
    <row r="76" spans="1:4" ht="15.6" x14ac:dyDescent="0.3">
      <c r="A76" s="16">
        <v>1</v>
      </c>
      <c r="B76" s="16" t="s">
        <v>56</v>
      </c>
      <c r="C76" s="16"/>
      <c r="D76" s="16" t="str">
        <f>MID(B76,2,4)</f>
        <v>DUKO</v>
      </c>
    </row>
    <row r="77" spans="1:4" ht="15.6" x14ac:dyDescent="0.3">
      <c r="A77" s="16">
        <v>2</v>
      </c>
      <c r="B77" s="16" t="s">
        <v>57</v>
      </c>
      <c r="C77" s="16"/>
      <c r="D77" s="16" t="str">
        <f>MID(B77,3,6)</f>
        <v>NOTE</v>
      </c>
    </row>
    <row r="78" spans="1:4" ht="15.6" x14ac:dyDescent="0.3">
      <c r="A78" s="16">
        <v>3</v>
      </c>
      <c r="B78" s="16" t="s">
        <v>58</v>
      </c>
      <c r="C78" s="16"/>
      <c r="D78" s="16" t="str">
        <f>MID(B78,2,5)</f>
        <v>OOGLE</v>
      </c>
    </row>
    <row r="79" spans="1:4" ht="15.6" x14ac:dyDescent="0.3">
      <c r="A79" s="16">
        <v>4</v>
      </c>
      <c r="B79" s="16" t="s">
        <v>59</v>
      </c>
      <c r="C79" s="16"/>
      <c r="D79" s="16" t="str">
        <f>MID(B79,1,4)</f>
        <v>FUNC</v>
      </c>
    </row>
    <row r="80" spans="1:4" ht="15.6" x14ac:dyDescent="0.3">
      <c r="A80" s="16">
        <v>5</v>
      </c>
      <c r="B80" s="16" t="s">
        <v>60</v>
      </c>
      <c r="C80" s="16"/>
      <c r="D80" s="16" t="str">
        <f>MID(B80,2,4)</f>
        <v>ETPL</v>
      </c>
    </row>
    <row r="81" spans="1:4" x14ac:dyDescent="0.3">
      <c r="A81" s="18"/>
      <c r="B81" s="18"/>
      <c r="C81" s="18"/>
      <c r="D81" s="18"/>
    </row>
    <row r="82" spans="1:4" ht="25.2" x14ac:dyDescent="0.3">
      <c r="A82" s="4" t="s">
        <v>61</v>
      </c>
      <c r="B82" s="5"/>
      <c r="C82" s="5"/>
      <c r="D82" s="6"/>
    </row>
    <row r="83" spans="1:4" ht="22.8" x14ac:dyDescent="0.3">
      <c r="A83" s="7" t="s">
        <v>62</v>
      </c>
      <c r="B83" s="8"/>
      <c r="C83" s="8"/>
      <c r="D83" s="9"/>
    </row>
    <row r="84" spans="1:4" ht="21" x14ac:dyDescent="0.3">
      <c r="A84" s="10" t="s">
        <v>63</v>
      </c>
      <c r="B84" s="11"/>
      <c r="C84" s="11"/>
      <c r="D84" s="12"/>
    </row>
    <row r="85" spans="1:4" ht="18" x14ac:dyDescent="0.3">
      <c r="A85" s="13" t="s">
        <v>4</v>
      </c>
      <c r="B85" s="14" t="s">
        <v>5</v>
      </c>
      <c r="C85" s="15"/>
      <c r="D85" s="13" t="s">
        <v>6</v>
      </c>
    </row>
    <row r="86" spans="1:4" ht="15.6" x14ac:dyDescent="0.3">
      <c r="A86" s="16">
        <v>1</v>
      </c>
      <c r="B86" s="16" t="s">
        <v>64</v>
      </c>
      <c r="C86" s="16" t="s">
        <v>65</v>
      </c>
      <c r="D86" s="16" t="str">
        <f>_xlfn.CONCAT(B86,C86)</f>
        <v>MUMMYPAPA</v>
      </c>
    </row>
    <row r="87" spans="1:4" ht="15.6" x14ac:dyDescent="0.3">
      <c r="A87" s="16">
        <v>2</v>
      </c>
      <c r="B87" s="16" t="s">
        <v>66</v>
      </c>
      <c r="C87" s="16" t="s">
        <v>67</v>
      </c>
      <c r="D87" s="16" t="str">
        <f t="shared" ref="D87:D90" si="5">_xlfn.CONCAT(B87,C87)</f>
        <v>SWAROOPMRUNALI</v>
      </c>
    </row>
    <row r="88" spans="1:4" ht="15.6" x14ac:dyDescent="0.3">
      <c r="A88" s="16">
        <v>3</v>
      </c>
      <c r="B88" s="16" t="s">
        <v>68</v>
      </c>
      <c r="C88" s="16" t="s">
        <v>36</v>
      </c>
      <c r="D88" s="16" t="str">
        <f t="shared" si="5"/>
        <v>ARYANAASTHA</v>
      </c>
    </row>
    <row r="89" spans="1:4" ht="15.6" x14ac:dyDescent="0.3">
      <c r="A89" s="16">
        <v>4</v>
      </c>
      <c r="B89" s="16" t="s">
        <v>69</v>
      </c>
      <c r="C89" s="16" t="s">
        <v>70</v>
      </c>
      <c r="D89" s="16" t="str">
        <f t="shared" si="5"/>
        <v>ASMITASHRIYALI</v>
      </c>
    </row>
    <row r="90" spans="1:4" ht="15.6" x14ac:dyDescent="0.3">
      <c r="A90" s="16">
        <v>5</v>
      </c>
      <c r="B90" s="16" t="s">
        <v>71</v>
      </c>
      <c r="C90" s="16" t="s">
        <v>72</v>
      </c>
      <c r="D90" s="16" t="str">
        <f t="shared" si="5"/>
        <v>ADITYARISHI</v>
      </c>
    </row>
    <row r="91" spans="1:4" x14ac:dyDescent="0.3">
      <c r="A91" s="18"/>
      <c r="B91" s="18"/>
      <c r="C91" s="18"/>
      <c r="D91" s="18"/>
    </row>
    <row r="92" spans="1:4" ht="25.2" x14ac:dyDescent="0.3">
      <c r="A92" s="4" t="s">
        <v>73</v>
      </c>
      <c r="B92" s="5"/>
      <c r="C92" s="5"/>
      <c r="D92" s="6"/>
    </row>
    <row r="93" spans="1:4" ht="22.8" x14ac:dyDescent="0.3">
      <c r="A93" s="7" t="s">
        <v>74</v>
      </c>
      <c r="B93" s="8"/>
      <c r="C93" s="8"/>
      <c r="D93" s="9"/>
    </row>
    <row r="94" spans="1:4" ht="21" x14ac:dyDescent="0.3">
      <c r="A94" s="10" t="s">
        <v>75</v>
      </c>
      <c r="B94" s="11"/>
      <c r="C94" s="11"/>
      <c r="D94" s="12"/>
    </row>
    <row r="95" spans="1:4" ht="18" x14ac:dyDescent="0.3">
      <c r="A95" s="13" t="s">
        <v>4</v>
      </c>
      <c r="B95" s="14" t="s">
        <v>5</v>
      </c>
      <c r="C95" s="15"/>
      <c r="D95" s="13" t="s">
        <v>6</v>
      </c>
    </row>
    <row r="96" spans="1:4" ht="15.6" x14ac:dyDescent="0.3">
      <c r="A96" s="16">
        <v>1</v>
      </c>
      <c r="B96" s="16" t="s">
        <v>37</v>
      </c>
      <c r="C96" s="16" t="s">
        <v>76</v>
      </c>
      <c r="D96" s="16" t="str">
        <f>CONCATENATE(B96," -",C96)</f>
        <v>DATA -ANALYST</v>
      </c>
    </row>
    <row r="97" spans="1:4" ht="15.6" x14ac:dyDescent="0.3">
      <c r="A97" s="16">
        <v>2</v>
      </c>
      <c r="B97" s="16" t="s">
        <v>77</v>
      </c>
      <c r="C97" s="16" t="s">
        <v>78</v>
      </c>
      <c r="D97" s="16" t="str">
        <f t="shared" ref="D97:D100" si="6">CONCATENATE(B97," -",C97)</f>
        <v>COMPUTER -TOOLS</v>
      </c>
    </row>
    <row r="98" spans="1:4" ht="15.6" x14ac:dyDescent="0.3">
      <c r="A98" s="16">
        <v>3</v>
      </c>
      <c r="B98" s="16" t="s">
        <v>79</v>
      </c>
      <c r="C98" s="16" t="s">
        <v>80</v>
      </c>
      <c r="D98" s="16" t="str">
        <f t="shared" si="6"/>
        <v>ARC -INSTITUDE</v>
      </c>
    </row>
    <row r="99" spans="1:4" ht="15.6" x14ac:dyDescent="0.3">
      <c r="A99" s="16">
        <v>4</v>
      </c>
      <c r="B99" s="16" t="s">
        <v>81</v>
      </c>
      <c r="C99" s="16" t="s">
        <v>82</v>
      </c>
      <c r="D99" s="16" t="str">
        <f t="shared" si="6"/>
        <v>HELLO -WORLD</v>
      </c>
    </row>
    <row r="100" spans="1:4" ht="15.6" x14ac:dyDescent="0.3">
      <c r="A100" s="16">
        <v>5</v>
      </c>
      <c r="B100" s="16" t="s">
        <v>83</v>
      </c>
      <c r="C100" s="16" t="s">
        <v>84</v>
      </c>
      <c r="D100" s="16" t="str">
        <f t="shared" si="6"/>
        <v>CON -CATENATE</v>
      </c>
    </row>
    <row r="101" spans="1:4" ht="15.6" x14ac:dyDescent="0.3">
      <c r="A101" s="16"/>
      <c r="B101" s="16"/>
      <c r="C101" s="16"/>
      <c r="D101" s="16"/>
    </row>
    <row r="102" spans="1:4" ht="25.2" x14ac:dyDescent="0.3">
      <c r="A102" s="4" t="s">
        <v>85</v>
      </c>
      <c r="B102" s="5"/>
      <c r="C102" s="5"/>
      <c r="D102" s="6"/>
    </row>
    <row r="103" spans="1:4" ht="22.8" x14ac:dyDescent="0.3">
      <c r="A103" s="7" t="s">
        <v>86</v>
      </c>
      <c r="B103" s="8"/>
      <c r="C103" s="8"/>
      <c r="D103" s="9"/>
    </row>
    <row r="104" spans="1:4" ht="21" x14ac:dyDescent="0.3">
      <c r="A104" s="10" t="s">
        <v>87</v>
      </c>
      <c r="B104" s="11"/>
      <c r="C104" s="11"/>
      <c r="D104" s="12"/>
    </row>
    <row r="105" spans="1:4" ht="18" x14ac:dyDescent="0.3">
      <c r="A105" s="13" t="s">
        <v>4</v>
      </c>
      <c r="B105" s="14" t="s">
        <v>5</v>
      </c>
      <c r="C105" s="15"/>
      <c r="D105" s="13" t="s">
        <v>6</v>
      </c>
    </row>
    <row r="106" spans="1:4" ht="15.6" x14ac:dyDescent="0.3">
      <c r="A106" s="16">
        <v>1</v>
      </c>
      <c r="B106" s="16" t="s">
        <v>88</v>
      </c>
      <c r="C106" s="16"/>
      <c r="D106" s="16" t="str">
        <f>TRIM(B106)</f>
        <v>RITESH MOHIT</v>
      </c>
    </row>
    <row r="107" spans="1:4" ht="15.6" x14ac:dyDescent="0.3">
      <c r="A107" s="16">
        <v>2</v>
      </c>
      <c r="B107" s="16" t="s">
        <v>89</v>
      </c>
      <c r="C107" s="16"/>
      <c r="D107" s="16" t="str">
        <f t="shared" ref="D107:D110" si="7">TRIM(B107)</f>
        <v>ROHIT REETU</v>
      </c>
    </row>
    <row r="108" spans="1:4" ht="15.6" x14ac:dyDescent="0.3">
      <c r="A108" s="16">
        <v>3</v>
      </c>
      <c r="B108" s="16" t="s">
        <v>90</v>
      </c>
      <c r="C108" s="16"/>
      <c r="D108" s="16" t="str">
        <f t="shared" si="7"/>
        <v>RISHIKESH SOCIETY</v>
      </c>
    </row>
    <row r="109" spans="1:4" ht="15.6" x14ac:dyDescent="0.3">
      <c r="A109" s="16">
        <v>4</v>
      </c>
      <c r="B109" s="16" t="s">
        <v>91</v>
      </c>
      <c r="C109" s="16"/>
      <c r="D109" s="16" t="str">
        <f t="shared" si="7"/>
        <v>RUDRA BOLL</v>
      </c>
    </row>
    <row r="110" spans="1:4" ht="15.6" x14ac:dyDescent="0.3">
      <c r="A110" s="16">
        <v>5</v>
      </c>
      <c r="B110" s="16" t="s">
        <v>92</v>
      </c>
      <c r="C110" s="16"/>
      <c r="D110" s="16" t="str">
        <f t="shared" si="7"/>
        <v>RAKESH BAT</v>
      </c>
    </row>
    <row r="111" spans="1:4" ht="15.6" x14ac:dyDescent="0.3">
      <c r="A111" s="16"/>
      <c r="B111" s="16"/>
      <c r="C111" s="16"/>
      <c r="D111" s="16"/>
    </row>
    <row r="112" spans="1:4" ht="25.2" x14ac:dyDescent="0.3">
      <c r="A112" s="4" t="s">
        <v>93</v>
      </c>
      <c r="B112" s="5"/>
      <c r="C112" s="5"/>
      <c r="D112" s="6"/>
    </row>
    <row r="113" spans="1:4" ht="22.8" x14ac:dyDescent="0.3">
      <c r="A113" s="7" t="s">
        <v>94</v>
      </c>
      <c r="B113" s="8"/>
      <c r="C113" s="8"/>
      <c r="D113" s="9"/>
    </row>
    <row r="114" spans="1:4" ht="21" x14ac:dyDescent="0.3">
      <c r="A114" s="10" t="s">
        <v>95</v>
      </c>
      <c r="B114" s="11"/>
      <c r="C114" s="11"/>
      <c r="D114" s="12"/>
    </row>
    <row r="115" spans="1:4" ht="18" x14ac:dyDescent="0.3">
      <c r="A115" s="13" t="s">
        <v>4</v>
      </c>
      <c r="B115" s="14" t="s">
        <v>5</v>
      </c>
      <c r="C115" s="15"/>
      <c r="D115" s="13" t="s">
        <v>6</v>
      </c>
    </row>
    <row r="116" spans="1:4" ht="15.6" x14ac:dyDescent="0.3">
      <c r="A116" s="16">
        <v>1</v>
      </c>
      <c r="B116" s="16" t="s">
        <v>96</v>
      </c>
      <c r="C116" s="16"/>
      <c r="D116" s="16">
        <f>FIND("T",B116)</f>
        <v>4</v>
      </c>
    </row>
    <row r="117" spans="1:4" ht="15.6" x14ac:dyDescent="0.3">
      <c r="A117" s="16">
        <v>2</v>
      </c>
      <c r="B117" s="16" t="s">
        <v>97</v>
      </c>
      <c r="C117" s="16"/>
      <c r="D117" s="16">
        <f t="shared" ref="D117:D120" si="8">FIND("T",B117)</f>
        <v>4</v>
      </c>
    </row>
    <row r="118" spans="1:4" ht="15.6" x14ac:dyDescent="0.3">
      <c r="A118" s="16">
        <v>3</v>
      </c>
      <c r="B118" s="16" t="s">
        <v>98</v>
      </c>
      <c r="C118" s="16"/>
      <c r="D118" s="16">
        <f t="shared" si="8"/>
        <v>8</v>
      </c>
    </row>
    <row r="119" spans="1:4" ht="15.6" x14ac:dyDescent="0.3">
      <c r="A119" s="16">
        <v>4</v>
      </c>
      <c r="B119" s="16" t="s">
        <v>99</v>
      </c>
      <c r="C119" s="16"/>
      <c r="D119" s="16">
        <f t="shared" si="8"/>
        <v>1</v>
      </c>
    </row>
    <row r="120" spans="1:4" ht="15.6" x14ac:dyDescent="0.3">
      <c r="A120" s="16">
        <v>5</v>
      </c>
      <c r="B120" s="16" t="s">
        <v>100</v>
      </c>
      <c r="C120" s="16"/>
      <c r="D120" s="16">
        <f t="shared" si="8"/>
        <v>8</v>
      </c>
    </row>
    <row r="121" spans="1:4" ht="15.6" x14ac:dyDescent="0.3">
      <c r="A121" s="16"/>
      <c r="B121" s="16"/>
      <c r="C121" s="16"/>
      <c r="D121" s="16"/>
    </row>
    <row r="122" spans="1:4" ht="25.2" x14ac:dyDescent="0.3">
      <c r="A122" s="4" t="s">
        <v>101</v>
      </c>
      <c r="B122" s="5"/>
      <c r="C122" s="5"/>
      <c r="D122" s="6"/>
    </row>
    <row r="123" spans="1:4" ht="22.8" x14ac:dyDescent="0.3">
      <c r="A123" s="7" t="s">
        <v>102</v>
      </c>
      <c r="B123" s="8"/>
      <c r="C123" s="8"/>
      <c r="D123" s="9"/>
    </row>
    <row r="124" spans="1:4" ht="21" x14ac:dyDescent="0.3">
      <c r="A124" s="10" t="s">
        <v>103</v>
      </c>
      <c r="B124" s="11"/>
      <c r="C124" s="11"/>
      <c r="D124" s="12"/>
    </row>
    <row r="125" spans="1:4" ht="18" x14ac:dyDescent="0.3">
      <c r="A125" s="13" t="s">
        <v>4</v>
      </c>
      <c r="B125" s="14" t="s">
        <v>5</v>
      </c>
      <c r="C125" s="15"/>
      <c r="D125" s="13" t="s">
        <v>6</v>
      </c>
    </row>
    <row r="126" spans="1:4" ht="15.6" x14ac:dyDescent="0.3">
      <c r="A126" s="16">
        <v>1</v>
      </c>
      <c r="B126" s="16" t="s">
        <v>104</v>
      </c>
      <c r="C126" s="16" t="s">
        <v>105</v>
      </c>
      <c r="D126" s="16" t="b">
        <f>EXACT(B126,C126)</f>
        <v>0</v>
      </c>
    </row>
    <row r="127" spans="1:4" ht="15.6" x14ac:dyDescent="0.3">
      <c r="A127" s="16">
        <v>2</v>
      </c>
      <c r="B127" s="16" t="s">
        <v>16</v>
      </c>
      <c r="C127" s="16" t="s">
        <v>16</v>
      </c>
      <c r="D127" s="16" t="b">
        <f t="shared" ref="D127:D130" si="9">EXACT(B127,C127)</f>
        <v>1</v>
      </c>
    </row>
    <row r="128" spans="1:4" ht="15.6" x14ac:dyDescent="0.3">
      <c r="A128" s="16">
        <v>3</v>
      </c>
      <c r="B128" s="16" t="s">
        <v>106</v>
      </c>
      <c r="C128" s="16" t="s">
        <v>107</v>
      </c>
      <c r="D128" s="16" t="b">
        <f t="shared" si="9"/>
        <v>0</v>
      </c>
    </row>
    <row r="129" spans="1:4" ht="15.6" x14ac:dyDescent="0.3">
      <c r="A129" s="16">
        <v>4</v>
      </c>
      <c r="B129" s="16" t="s">
        <v>108</v>
      </c>
      <c r="C129" s="16" t="s">
        <v>108</v>
      </c>
      <c r="D129" s="16" t="b">
        <f t="shared" si="9"/>
        <v>1</v>
      </c>
    </row>
    <row r="130" spans="1:4" ht="15.6" x14ac:dyDescent="0.3">
      <c r="A130" s="16">
        <v>5</v>
      </c>
      <c r="B130" s="16" t="s">
        <v>109</v>
      </c>
      <c r="C130" s="16" t="s">
        <v>110</v>
      </c>
      <c r="D130" s="16" t="b">
        <f t="shared" si="9"/>
        <v>0</v>
      </c>
    </row>
    <row r="131" spans="1:4" ht="15.6" x14ac:dyDescent="0.3">
      <c r="A131" s="16"/>
      <c r="B131" s="16"/>
      <c r="C131" s="16"/>
      <c r="D131" s="16"/>
    </row>
    <row r="132" spans="1:4" ht="25.2" x14ac:dyDescent="0.3">
      <c r="A132" s="4" t="s">
        <v>111</v>
      </c>
      <c r="B132" s="5"/>
      <c r="C132" s="5"/>
      <c r="D132" s="6"/>
    </row>
    <row r="133" spans="1:4" ht="22.8" x14ac:dyDescent="0.3">
      <c r="A133" s="7" t="s">
        <v>112</v>
      </c>
      <c r="B133" s="8"/>
      <c r="C133" s="8"/>
      <c r="D133" s="9"/>
    </row>
    <row r="134" spans="1:4" ht="21" x14ac:dyDescent="0.3">
      <c r="A134" s="10" t="s">
        <v>113</v>
      </c>
      <c r="B134" s="11"/>
      <c r="C134" s="11"/>
      <c r="D134" s="12"/>
    </row>
    <row r="135" spans="1:4" ht="18" x14ac:dyDescent="0.3">
      <c r="A135" s="13" t="s">
        <v>4</v>
      </c>
      <c r="B135" s="14" t="s">
        <v>5</v>
      </c>
      <c r="C135" s="15"/>
      <c r="D135" s="13" t="s">
        <v>6</v>
      </c>
    </row>
    <row r="136" spans="1:4" ht="15.6" x14ac:dyDescent="0.3">
      <c r="A136" s="16">
        <v>1</v>
      </c>
      <c r="B136" s="16" t="s">
        <v>68</v>
      </c>
      <c r="C136" s="16"/>
      <c r="D136" s="16" t="str">
        <f>SUBSTITUTE(B136,"N","D")</f>
        <v>ARYAD</v>
      </c>
    </row>
    <row r="137" spans="1:4" ht="15.6" x14ac:dyDescent="0.3">
      <c r="A137" s="16">
        <v>2</v>
      </c>
      <c r="B137" s="16" t="s">
        <v>36</v>
      </c>
      <c r="C137" s="16"/>
      <c r="D137" s="16" t="str">
        <f>SUBSTITUTE(B137,"A","D")</f>
        <v>DDSTHD</v>
      </c>
    </row>
    <row r="138" spans="1:4" ht="15.6" x14ac:dyDescent="0.3">
      <c r="A138" s="16">
        <v>3</v>
      </c>
      <c r="B138" s="16" t="s">
        <v>114</v>
      </c>
      <c r="C138" s="16"/>
      <c r="D138" s="16" t="str">
        <f>SUBSTITUTE(B138,"N","D")</f>
        <v>SADSKRUTI</v>
      </c>
    </row>
    <row r="139" spans="1:4" ht="15.6" x14ac:dyDescent="0.3">
      <c r="A139" s="16">
        <v>4</v>
      </c>
      <c r="B139" s="16" t="s">
        <v>115</v>
      </c>
      <c r="C139" s="16"/>
      <c r="D139" s="16" t="str">
        <f>SUBSTITUTE(B139,"O","P")</f>
        <v>SHPP</v>
      </c>
    </row>
    <row r="140" spans="1:4" ht="15.6" x14ac:dyDescent="0.3">
      <c r="A140" s="16">
        <v>5</v>
      </c>
      <c r="B140" s="16" t="s">
        <v>116</v>
      </c>
      <c r="C140" s="16"/>
      <c r="D140" s="16" t="str">
        <f>SUBSTITUTE(B140,"R","D")</f>
        <v>DDINK</v>
      </c>
    </row>
    <row r="141" spans="1:4" ht="15.6" x14ac:dyDescent="0.3">
      <c r="A141" s="16"/>
      <c r="B141" s="16"/>
      <c r="C141" s="16"/>
      <c r="D141" s="16"/>
    </row>
    <row r="142" spans="1:4" ht="25.2" x14ac:dyDescent="0.3">
      <c r="A142" s="4" t="s">
        <v>117</v>
      </c>
      <c r="B142" s="5"/>
      <c r="C142" s="5"/>
      <c r="D142" s="6"/>
    </row>
    <row r="143" spans="1:4" ht="22.8" x14ac:dyDescent="0.3">
      <c r="A143" s="7" t="s">
        <v>118</v>
      </c>
      <c r="B143" s="8"/>
      <c r="C143" s="8"/>
      <c r="D143" s="9"/>
    </row>
    <row r="144" spans="1:4" ht="21" x14ac:dyDescent="0.3">
      <c r="A144" s="10" t="s">
        <v>119</v>
      </c>
      <c r="B144" s="11"/>
      <c r="C144" s="11"/>
      <c r="D144" s="12"/>
    </row>
    <row r="145" spans="1:4" ht="18" x14ac:dyDescent="0.3">
      <c r="A145" s="13" t="s">
        <v>4</v>
      </c>
      <c r="B145" s="14" t="s">
        <v>5</v>
      </c>
      <c r="C145" s="15"/>
      <c r="D145" s="13" t="s">
        <v>6</v>
      </c>
    </row>
    <row r="146" spans="1:4" ht="15.6" x14ac:dyDescent="0.3">
      <c r="A146" s="16">
        <v>1</v>
      </c>
      <c r="B146" s="16" t="s">
        <v>120</v>
      </c>
      <c r="C146" s="16"/>
      <c r="D146" s="16" t="str">
        <f>REPT(B146,3)</f>
        <v>HOTHOTHOT</v>
      </c>
    </row>
    <row r="147" spans="1:4" ht="15.6" x14ac:dyDescent="0.3">
      <c r="A147" s="16">
        <v>2</v>
      </c>
      <c r="B147" s="16" t="s">
        <v>121</v>
      </c>
      <c r="C147" s="16"/>
      <c r="D147" s="16" t="str">
        <f>REPT(B147,4)</f>
        <v>COLDCOLDCOLDCOLD</v>
      </c>
    </row>
    <row r="148" spans="1:4" ht="15.6" x14ac:dyDescent="0.3">
      <c r="A148" s="16">
        <v>3</v>
      </c>
      <c r="B148" s="16" t="s">
        <v>122</v>
      </c>
      <c r="C148" s="16"/>
      <c r="D148" s="16" t="str">
        <f>REPT(B148,7)</f>
        <v>WATERWATERWATERWATERWATERWATERWATER</v>
      </c>
    </row>
    <row r="149" spans="1:4" ht="15.6" x14ac:dyDescent="0.3">
      <c r="A149" s="16">
        <v>4</v>
      </c>
      <c r="B149" s="16" t="s">
        <v>123</v>
      </c>
      <c r="C149" s="16"/>
      <c r="D149" s="16" t="str">
        <f>REPT(B149,4)</f>
        <v>HOUSEHOUSEHOUSEHOUSE</v>
      </c>
    </row>
    <row r="150" spans="1:4" ht="15.6" x14ac:dyDescent="0.3">
      <c r="A150" s="16">
        <v>5</v>
      </c>
      <c r="B150" s="16" t="s">
        <v>124</v>
      </c>
      <c r="C150" s="16"/>
      <c r="D150" s="16" t="str">
        <f>REPT(B150,8)</f>
        <v>SHEETSHEETSHEETSHEETSHEETSHEETSHEETSHEET</v>
      </c>
    </row>
    <row r="151" spans="1:4" x14ac:dyDescent="0.3">
      <c r="A151" s="22"/>
      <c r="B151" s="22"/>
      <c r="C151" s="22"/>
      <c r="D151" s="22"/>
    </row>
    <row r="152" spans="1:4" ht="25.2" x14ac:dyDescent="0.3">
      <c r="A152" s="23"/>
      <c r="B152" s="23"/>
      <c r="C152" s="23"/>
      <c r="D152" s="23"/>
    </row>
    <row r="153" spans="1:4" ht="22.8" x14ac:dyDescent="0.3">
      <c r="A153" s="24"/>
      <c r="B153" s="24"/>
      <c r="C153" s="24"/>
      <c r="D153" s="24"/>
    </row>
    <row r="154" spans="1:4" ht="22.8" x14ac:dyDescent="0.3">
      <c r="A154" s="24"/>
      <c r="B154" s="24"/>
      <c r="C154" s="24"/>
      <c r="D154" s="24"/>
    </row>
    <row r="155" spans="1:4" ht="18" x14ac:dyDescent="0.3">
      <c r="A155" s="25"/>
      <c r="B155" s="25"/>
      <c r="C155" s="25"/>
      <c r="D155" s="25"/>
    </row>
    <row r="156" spans="1:4" x14ac:dyDescent="0.3">
      <c r="A156" s="26"/>
      <c r="B156" s="26"/>
      <c r="C156" s="26"/>
      <c r="D156" s="26"/>
    </row>
    <row r="157" spans="1:4" x14ac:dyDescent="0.3">
      <c r="A157" s="26"/>
      <c r="B157" s="26"/>
      <c r="C157" s="26"/>
      <c r="D157" s="26"/>
    </row>
    <row r="158" spans="1:4" x14ac:dyDescent="0.3">
      <c r="A158" s="26"/>
      <c r="B158" s="26"/>
      <c r="C158" s="26"/>
      <c r="D158" s="26"/>
    </row>
    <row r="159" spans="1:4" x14ac:dyDescent="0.3">
      <c r="A159" s="26"/>
      <c r="B159" s="26"/>
      <c r="C159" s="26"/>
      <c r="D159" s="26"/>
    </row>
    <row r="160" spans="1:4" x14ac:dyDescent="0.3">
      <c r="A160" s="26"/>
      <c r="B160" s="26"/>
      <c r="C160" s="26"/>
      <c r="D160" s="26"/>
    </row>
    <row r="161" spans="1:4" x14ac:dyDescent="0.3">
      <c r="A161" s="26"/>
      <c r="B161" s="26"/>
      <c r="C161" s="26"/>
      <c r="D161" s="26"/>
    </row>
    <row r="162" spans="1:4" ht="25.2" x14ac:dyDescent="0.3">
      <c r="A162" s="23"/>
      <c r="B162" s="23"/>
      <c r="C162" s="23"/>
      <c r="D162" s="23"/>
    </row>
    <row r="163" spans="1:4" ht="22.8" x14ac:dyDescent="0.3">
      <c r="A163" s="24"/>
      <c r="B163" s="24"/>
      <c r="C163" s="24"/>
      <c r="D163" s="24"/>
    </row>
    <row r="164" spans="1:4" ht="22.8" x14ac:dyDescent="0.3">
      <c r="A164" s="24"/>
      <c r="B164" s="24"/>
      <c r="C164" s="24"/>
      <c r="D164" s="24"/>
    </row>
    <row r="165" spans="1:4" ht="18" x14ac:dyDescent="0.3">
      <c r="A165" s="25"/>
      <c r="B165" s="25"/>
      <c r="C165" s="25"/>
      <c r="D165" s="25"/>
    </row>
    <row r="166" spans="1:4" x14ac:dyDescent="0.3">
      <c r="A166" s="26"/>
      <c r="B166" s="26"/>
      <c r="C166" s="26"/>
      <c r="D166" s="26"/>
    </row>
    <row r="167" spans="1:4" x14ac:dyDescent="0.3">
      <c r="A167" s="26"/>
      <c r="B167" s="26"/>
      <c r="C167" s="26"/>
      <c r="D167" s="26"/>
    </row>
    <row r="168" spans="1:4" x14ac:dyDescent="0.3">
      <c r="A168" s="26"/>
      <c r="B168" s="26"/>
      <c r="C168" s="26"/>
      <c r="D168" s="26"/>
    </row>
    <row r="169" spans="1:4" x14ac:dyDescent="0.3">
      <c r="A169" s="26"/>
      <c r="B169" s="26"/>
      <c r="C169" s="26"/>
      <c r="D169" s="26"/>
    </row>
    <row r="170" spans="1:4" x14ac:dyDescent="0.3">
      <c r="A170" s="26"/>
      <c r="B170" s="26"/>
      <c r="C170" s="26"/>
      <c r="D170" s="26"/>
    </row>
    <row r="171" spans="1:4" x14ac:dyDescent="0.3">
      <c r="A171" s="26"/>
      <c r="B171" s="26"/>
      <c r="C171" s="26"/>
      <c r="D171" s="26"/>
    </row>
    <row r="172" spans="1:4" ht="25.2" x14ac:dyDescent="0.3">
      <c r="A172" s="23"/>
      <c r="B172" s="23"/>
      <c r="C172" s="23"/>
      <c r="D172" s="23"/>
    </row>
    <row r="173" spans="1:4" ht="22.8" x14ac:dyDescent="0.3">
      <c r="A173" s="24"/>
      <c r="B173" s="24"/>
      <c r="C173" s="24"/>
      <c r="D173" s="24"/>
    </row>
    <row r="174" spans="1:4" ht="22.8" x14ac:dyDescent="0.3">
      <c r="A174" s="24"/>
      <c r="B174" s="24"/>
      <c r="C174" s="24"/>
      <c r="D174" s="24"/>
    </row>
    <row r="175" spans="1:4" ht="18" x14ac:dyDescent="0.3">
      <c r="A175" s="25"/>
      <c r="B175" s="25"/>
      <c r="C175" s="25"/>
      <c r="D175" s="25"/>
    </row>
    <row r="176" spans="1:4" x14ac:dyDescent="0.3">
      <c r="A176" s="26"/>
      <c r="B176" s="26"/>
      <c r="C176" s="26"/>
      <c r="D176" s="26"/>
    </row>
    <row r="177" spans="1:4" x14ac:dyDescent="0.3">
      <c r="A177" s="26"/>
      <c r="B177" s="26"/>
      <c r="C177" s="26"/>
      <c r="D177" s="26"/>
    </row>
    <row r="178" spans="1:4" x14ac:dyDescent="0.3">
      <c r="A178" s="26"/>
      <c r="B178" s="26"/>
      <c r="C178" s="26"/>
      <c r="D178" s="26"/>
    </row>
    <row r="179" spans="1:4" x14ac:dyDescent="0.3">
      <c r="A179" s="26"/>
      <c r="B179" s="26"/>
      <c r="C179" s="26"/>
      <c r="D179" s="26"/>
    </row>
    <row r="180" spans="1:4" x14ac:dyDescent="0.3">
      <c r="A180" s="26"/>
      <c r="B180" s="26"/>
      <c r="C180" s="26"/>
      <c r="D180" s="26"/>
    </row>
    <row r="181" spans="1:4" x14ac:dyDescent="0.3">
      <c r="A181" s="26"/>
      <c r="B181" s="26"/>
      <c r="C181" s="26"/>
      <c r="D181" s="26"/>
    </row>
    <row r="182" spans="1:4" ht="25.2" x14ac:dyDescent="0.3">
      <c r="A182" s="23"/>
      <c r="B182" s="23"/>
      <c r="C182" s="23"/>
      <c r="D182" s="23"/>
    </row>
    <row r="183" spans="1:4" ht="22.8" x14ac:dyDescent="0.3">
      <c r="A183" s="24"/>
      <c r="B183" s="24"/>
      <c r="C183" s="24"/>
      <c r="D183" s="24"/>
    </row>
    <row r="184" spans="1:4" ht="22.8" x14ac:dyDescent="0.3">
      <c r="A184" s="24"/>
      <c r="B184" s="24"/>
      <c r="C184" s="24"/>
      <c r="D184" s="24"/>
    </row>
    <row r="185" spans="1:4" ht="18" x14ac:dyDescent="0.3">
      <c r="A185" s="25"/>
      <c r="B185" s="25"/>
      <c r="C185" s="25"/>
      <c r="D185" s="25"/>
    </row>
    <row r="186" spans="1:4" x14ac:dyDescent="0.3">
      <c r="A186" s="26"/>
      <c r="B186" s="26"/>
      <c r="C186" s="26"/>
      <c r="D186" s="26"/>
    </row>
    <row r="187" spans="1:4" x14ac:dyDescent="0.3">
      <c r="A187" s="26"/>
      <c r="B187" s="26"/>
      <c r="C187" s="26"/>
      <c r="D187" s="26"/>
    </row>
    <row r="188" spans="1:4" x14ac:dyDescent="0.3">
      <c r="A188" s="26"/>
      <c r="B188" s="26"/>
      <c r="C188" s="26"/>
      <c r="D188" s="26"/>
    </row>
    <row r="189" spans="1:4" x14ac:dyDescent="0.3">
      <c r="A189" s="26"/>
      <c r="B189" s="26"/>
      <c r="C189" s="26"/>
      <c r="D189" s="26"/>
    </row>
    <row r="190" spans="1:4" x14ac:dyDescent="0.3">
      <c r="A190" s="26"/>
      <c r="B190" s="26"/>
      <c r="C190" s="26"/>
      <c r="D190" s="26"/>
    </row>
    <row r="191" spans="1:4" x14ac:dyDescent="0.3">
      <c r="A191" s="26"/>
      <c r="B191" s="26"/>
      <c r="C191" s="26"/>
      <c r="D191" s="26"/>
    </row>
    <row r="192" spans="1:4" ht="25.2" x14ac:dyDescent="0.3">
      <c r="A192" s="23"/>
      <c r="B192" s="23"/>
      <c r="C192" s="23"/>
      <c r="D192" s="23"/>
    </row>
    <row r="193" spans="1:4" ht="22.8" x14ac:dyDescent="0.3">
      <c r="A193" s="24"/>
      <c r="B193" s="24"/>
      <c r="C193" s="24"/>
      <c r="D193" s="24"/>
    </row>
    <row r="194" spans="1:4" ht="22.8" x14ac:dyDescent="0.3">
      <c r="A194" s="24"/>
      <c r="B194" s="24"/>
      <c r="C194" s="24"/>
      <c r="D194" s="24"/>
    </row>
    <row r="195" spans="1:4" ht="18" x14ac:dyDescent="0.3">
      <c r="A195" s="25"/>
      <c r="B195" s="25"/>
      <c r="C195" s="25"/>
      <c r="D195" s="25"/>
    </row>
    <row r="196" spans="1:4" x14ac:dyDescent="0.3">
      <c r="A196" s="26"/>
      <c r="B196" s="26"/>
      <c r="C196" s="26"/>
      <c r="D196" s="26"/>
    </row>
    <row r="197" spans="1:4" x14ac:dyDescent="0.3">
      <c r="A197" s="26"/>
      <c r="B197" s="26"/>
      <c r="C197" s="26"/>
      <c r="D197" s="26"/>
    </row>
    <row r="198" spans="1:4" x14ac:dyDescent="0.3">
      <c r="A198" s="26"/>
      <c r="B198" s="26"/>
      <c r="C198" s="26"/>
      <c r="D198" s="26"/>
    </row>
    <row r="199" spans="1:4" x14ac:dyDescent="0.3">
      <c r="A199" s="26"/>
      <c r="B199" s="26"/>
      <c r="C199" s="26"/>
      <c r="D199" s="26"/>
    </row>
    <row r="200" spans="1:4" x14ac:dyDescent="0.3">
      <c r="A200" s="26"/>
      <c r="B200" s="26"/>
      <c r="C200" s="26"/>
      <c r="D200" s="26"/>
    </row>
    <row r="201" spans="1:4" x14ac:dyDescent="0.3">
      <c r="A201" s="26"/>
      <c r="B201" s="26"/>
      <c r="C201" s="26"/>
      <c r="D201" s="26"/>
    </row>
    <row r="202" spans="1:4" ht="25.2" x14ac:dyDescent="0.3">
      <c r="A202" s="23"/>
      <c r="B202" s="23"/>
      <c r="C202" s="23"/>
      <c r="D202" s="23"/>
    </row>
    <row r="203" spans="1:4" ht="22.8" x14ac:dyDescent="0.3">
      <c r="A203" s="24"/>
      <c r="B203" s="24"/>
      <c r="C203" s="24"/>
      <c r="D203" s="24"/>
    </row>
    <row r="204" spans="1:4" ht="22.8" x14ac:dyDescent="0.3">
      <c r="A204" s="24"/>
      <c r="B204" s="24"/>
      <c r="C204" s="24"/>
      <c r="D204" s="24"/>
    </row>
    <row r="205" spans="1:4" ht="18" x14ac:dyDescent="0.3">
      <c r="A205" s="25"/>
      <c r="B205" s="25"/>
      <c r="C205" s="25"/>
      <c r="D205" s="25"/>
    </row>
    <row r="206" spans="1:4" x14ac:dyDescent="0.3">
      <c r="A206" s="26"/>
      <c r="B206" s="26"/>
      <c r="C206" s="26"/>
      <c r="D206" s="26"/>
    </row>
    <row r="207" spans="1:4" x14ac:dyDescent="0.3">
      <c r="A207" s="26"/>
      <c r="B207" s="26"/>
      <c r="C207" s="26"/>
      <c r="D207" s="26"/>
    </row>
    <row r="208" spans="1:4" x14ac:dyDescent="0.3">
      <c r="A208" s="26"/>
      <c r="B208" s="26"/>
      <c r="C208" s="26"/>
      <c r="D208" s="26"/>
    </row>
    <row r="209" spans="1:4" x14ac:dyDescent="0.3">
      <c r="A209" s="26"/>
      <c r="B209" s="26"/>
      <c r="C209" s="26"/>
      <c r="D209" s="26"/>
    </row>
    <row r="210" spans="1:4" x14ac:dyDescent="0.3">
      <c r="A210" s="26"/>
      <c r="B210" s="26"/>
      <c r="C210" s="26"/>
      <c r="D210" s="26"/>
    </row>
    <row r="211" spans="1:4" x14ac:dyDescent="0.3">
      <c r="A211" s="26"/>
      <c r="B211" s="26"/>
      <c r="C211" s="26"/>
      <c r="D211" s="26"/>
    </row>
    <row r="212" spans="1:4" ht="25.2" x14ac:dyDescent="0.3">
      <c r="A212" s="23"/>
      <c r="B212" s="23"/>
      <c r="C212" s="23"/>
      <c r="D212" s="23"/>
    </row>
    <row r="213" spans="1:4" ht="22.8" x14ac:dyDescent="0.3">
      <c r="A213" s="24"/>
      <c r="B213" s="24"/>
      <c r="C213" s="24"/>
      <c r="D213" s="24"/>
    </row>
    <row r="214" spans="1:4" ht="22.8" x14ac:dyDescent="0.3">
      <c r="A214" s="24"/>
      <c r="B214" s="24"/>
      <c r="C214" s="24"/>
      <c r="D214" s="24"/>
    </row>
    <row r="215" spans="1:4" ht="18" x14ac:dyDescent="0.3">
      <c r="A215" s="25"/>
      <c r="B215" s="25"/>
      <c r="C215" s="25"/>
      <c r="D215" s="25"/>
    </row>
    <row r="216" spans="1:4" x14ac:dyDescent="0.3">
      <c r="A216" s="26"/>
      <c r="B216" s="26"/>
      <c r="C216" s="26"/>
      <c r="D216" s="26"/>
    </row>
    <row r="217" spans="1:4" x14ac:dyDescent="0.3">
      <c r="A217" s="26"/>
      <c r="B217" s="26"/>
      <c r="C217" s="26"/>
      <c r="D217" s="26"/>
    </row>
    <row r="218" spans="1:4" x14ac:dyDescent="0.3">
      <c r="A218" s="26"/>
      <c r="B218" s="26"/>
      <c r="C218" s="26"/>
      <c r="D218" s="26"/>
    </row>
    <row r="219" spans="1:4" x14ac:dyDescent="0.3">
      <c r="A219" s="26"/>
      <c r="B219" s="26"/>
      <c r="C219" s="26"/>
      <c r="D219" s="26"/>
    </row>
    <row r="220" spans="1:4" x14ac:dyDescent="0.3">
      <c r="A220" s="26"/>
      <c r="B220" s="26"/>
      <c r="C220" s="26"/>
      <c r="D220" s="26"/>
    </row>
    <row r="221" spans="1:4" x14ac:dyDescent="0.3">
      <c r="A221" s="26"/>
      <c r="B221" s="26"/>
      <c r="C221" s="26"/>
      <c r="D221" s="26"/>
    </row>
    <row r="222" spans="1:4" ht="25.2" x14ac:dyDescent="0.3">
      <c r="A222" s="23"/>
      <c r="B222" s="23"/>
      <c r="C222" s="23"/>
      <c r="D222" s="23"/>
    </row>
    <row r="223" spans="1:4" ht="22.8" x14ac:dyDescent="0.3">
      <c r="A223" s="24"/>
      <c r="B223" s="24"/>
      <c r="C223" s="24"/>
      <c r="D223" s="24"/>
    </row>
    <row r="224" spans="1:4" ht="22.8" x14ac:dyDescent="0.3">
      <c r="A224" s="24"/>
      <c r="B224" s="24"/>
      <c r="C224" s="24"/>
      <c r="D224" s="24"/>
    </row>
    <row r="225" spans="1:4" ht="18" x14ac:dyDescent="0.3">
      <c r="A225" s="25"/>
      <c r="B225" s="25"/>
      <c r="C225" s="25"/>
      <c r="D225" s="25"/>
    </row>
    <row r="226" spans="1:4" x14ac:dyDescent="0.3">
      <c r="A226" s="26"/>
      <c r="B226" s="26"/>
      <c r="C226" s="26"/>
      <c r="D226" s="26"/>
    </row>
    <row r="227" spans="1:4" x14ac:dyDescent="0.3">
      <c r="A227" s="26"/>
      <c r="B227" s="26"/>
      <c r="C227" s="26"/>
      <c r="D227" s="26"/>
    </row>
    <row r="228" spans="1:4" x14ac:dyDescent="0.3">
      <c r="A228" s="26"/>
      <c r="B228" s="26"/>
      <c r="C228" s="26"/>
      <c r="D228" s="26"/>
    </row>
    <row r="229" spans="1:4" x14ac:dyDescent="0.3">
      <c r="A229" s="26"/>
      <c r="B229" s="26"/>
      <c r="C229" s="26"/>
      <c r="D229" s="26"/>
    </row>
    <row r="230" spans="1:4" x14ac:dyDescent="0.3">
      <c r="A230" s="26"/>
      <c r="B230" s="26"/>
      <c r="C230" s="26"/>
      <c r="D230" s="26"/>
    </row>
    <row r="231" spans="1:4" x14ac:dyDescent="0.3">
      <c r="A231" s="26"/>
      <c r="B231" s="26"/>
      <c r="C231" s="26"/>
      <c r="D231" s="26"/>
    </row>
    <row r="232" spans="1:4" ht="25.2" x14ac:dyDescent="0.3">
      <c r="A232" s="23"/>
      <c r="B232" s="23"/>
      <c r="C232" s="23"/>
      <c r="D232" s="23"/>
    </row>
    <row r="233" spans="1:4" ht="22.8" x14ac:dyDescent="0.3">
      <c r="A233" s="24"/>
      <c r="B233" s="24"/>
      <c r="C233" s="24"/>
      <c r="D233" s="24"/>
    </row>
    <row r="234" spans="1:4" ht="22.8" x14ac:dyDescent="0.3">
      <c r="A234" s="24"/>
      <c r="B234" s="24"/>
      <c r="C234" s="24"/>
      <c r="D234" s="24"/>
    </row>
    <row r="235" spans="1:4" ht="18" x14ac:dyDescent="0.3">
      <c r="A235" s="25"/>
      <c r="B235" s="25"/>
      <c r="C235" s="25"/>
      <c r="D235" s="25"/>
    </row>
    <row r="236" spans="1:4" x14ac:dyDescent="0.3">
      <c r="A236" s="26"/>
      <c r="B236" s="26"/>
      <c r="C236" s="26"/>
      <c r="D236" s="26"/>
    </row>
    <row r="237" spans="1:4" x14ac:dyDescent="0.3">
      <c r="A237" s="26"/>
      <c r="B237" s="26"/>
      <c r="C237" s="26"/>
      <c r="D237" s="26"/>
    </row>
    <row r="238" spans="1:4" x14ac:dyDescent="0.3">
      <c r="A238" s="26"/>
      <c r="B238" s="26"/>
      <c r="C238" s="26"/>
      <c r="D238" s="26"/>
    </row>
    <row r="239" spans="1:4" x14ac:dyDescent="0.3">
      <c r="A239" s="26"/>
      <c r="B239" s="26"/>
      <c r="C239" s="26"/>
      <c r="D239" s="26"/>
    </row>
    <row r="240" spans="1:4" x14ac:dyDescent="0.3">
      <c r="A240" s="26"/>
      <c r="B240" s="26"/>
      <c r="C240" s="26"/>
      <c r="D240" s="26"/>
    </row>
    <row r="241" spans="1:4" x14ac:dyDescent="0.3">
      <c r="A241" s="26"/>
      <c r="B241" s="26"/>
      <c r="C241" s="26"/>
      <c r="D241" s="26"/>
    </row>
    <row r="242" spans="1:4" ht="25.2" x14ac:dyDescent="0.3">
      <c r="A242" s="23"/>
      <c r="B242" s="23"/>
      <c r="C242" s="23"/>
      <c r="D242" s="23"/>
    </row>
    <row r="243" spans="1:4" ht="22.8" x14ac:dyDescent="0.3">
      <c r="A243" s="24"/>
      <c r="B243" s="24"/>
      <c r="C243" s="24"/>
      <c r="D243" s="24"/>
    </row>
    <row r="244" spans="1:4" ht="22.8" x14ac:dyDescent="0.3">
      <c r="A244" s="24"/>
      <c r="B244" s="24"/>
      <c r="C244" s="24"/>
      <c r="D244" s="24"/>
    </row>
    <row r="245" spans="1:4" ht="18" x14ac:dyDescent="0.3">
      <c r="A245" s="25"/>
      <c r="B245" s="25"/>
      <c r="C245" s="25"/>
      <c r="D245" s="25"/>
    </row>
    <row r="246" spans="1:4" x14ac:dyDescent="0.3">
      <c r="A246" s="26"/>
      <c r="B246" s="26"/>
      <c r="C246" s="26"/>
      <c r="D246" s="26"/>
    </row>
    <row r="247" spans="1:4" x14ac:dyDescent="0.3">
      <c r="A247" s="26"/>
      <c r="B247" s="26"/>
      <c r="C247" s="26"/>
      <c r="D247" s="26"/>
    </row>
    <row r="248" spans="1:4" x14ac:dyDescent="0.3">
      <c r="A248" s="26"/>
      <c r="B248" s="26"/>
      <c r="C248" s="26"/>
      <c r="D248" s="26"/>
    </row>
    <row r="249" spans="1:4" x14ac:dyDescent="0.3">
      <c r="A249" s="26"/>
      <c r="B249" s="26"/>
      <c r="C249" s="26"/>
      <c r="D249" s="26"/>
    </row>
    <row r="250" spans="1:4" x14ac:dyDescent="0.3">
      <c r="A250" s="26"/>
      <c r="B250" s="26"/>
      <c r="C250" s="26"/>
      <c r="D250" s="26"/>
    </row>
    <row r="251" spans="1:4" x14ac:dyDescent="0.3">
      <c r="A251" s="26"/>
      <c r="B251" s="26"/>
      <c r="C251" s="26"/>
      <c r="D251" s="26"/>
    </row>
    <row r="252" spans="1:4" ht="25.2" x14ac:dyDescent="0.3">
      <c r="A252" s="23"/>
      <c r="B252" s="23"/>
      <c r="C252" s="23"/>
      <c r="D252" s="23"/>
    </row>
    <row r="253" spans="1:4" ht="22.8" x14ac:dyDescent="0.3">
      <c r="A253" s="24"/>
      <c r="B253" s="24"/>
      <c r="C253" s="24"/>
      <c r="D253" s="24"/>
    </row>
    <row r="254" spans="1:4" ht="22.8" x14ac:dyDescent="0.3">
      <c r="A254" s="24"/>
      <c r="B254" s="24"/>
      <c r="C254" s="24"/>
      <c r="D254" s="24"/>
    </row>
    <row r="255" spans="1:4" ht="18" x14ac:dyDescent="0.3">
      <c r="A255" s="25"/>
      <c r="B255" s="25"/>
      <c r="C255" s="25"/>
      <c r="D255" s="25"/>
    </row>
    <row r="256" spans="1:4" x14ac:dyDescent="0.3">
      <c r="A256" s="26"/>
      <c r="B256" s="26"/>
      <c r="C256" s="26"/>
      <c r="D256" s="26"/>
    </row>
    <row r="257" spans="1:4" x14ac:dyDescent="0.3">
      <c r="A257" s="26"/>
      <c r="B257" s="26"/>
      <c r="C257" s="26"/>
      <c r="D257" s="26"/>
    </row>
    <row r="258" spans="1:4" x14ac:dyDescent="0.3">
      <c r="A258" s="26"/>
      <c r="B258" s="26"/>
      <c r="C258" s="26"/>
      <c r="D258" s="26"/>
    </row>
    <row r="259" spans="1:4" x14ac:dyDescent="0.3">
      <c r="A259" s="26"/>
      <c r="B259" s="26"/>
      <c r="C259" s="26"/>
      <c r="D259" s="26"/>
    </row>
    <row r="260" spans="1:4" x14ac:dyDescent="0.3">
      <c r="A260" s="26"/>
      <c r="B260" s="26"/>
      <c r="C260" s="26"/>
      <c r="D260" s="26"/>
    </row>
    <row r="261" spans="1:4" x14ac:dyDescent="0.3">
      <c r="A261" s="26"/>
      <c r="B261" s="26"/>
      <c r="C261" s="26"/>
      <c r="D261" s="26"/>
    </row>
    <row r="262" spans="1:4" ht="25.2" x14ac:dyDescent="0.3">
      <c r="A262" s="23"/>
      <c r="B262" s="23"/>
      <c r="C262" s="23"/>
      <c r="D262" s="23"/>
    </row>
    <row r="263" spans="1:4" ht="22.8" x14ac:dyDescent="0.3">
      <c r="A263" s="24"/>
      <c r="B263" s="24"/>
      <c r="C263" s="24"/>
      <c r="D263" s="24"/>
    </row>
    <row r="264" spans="1:4" ht="22.8" x14ac:dyDescent="0.3">
      <c r="A264" s="24"/>
      <c r="B264" s="24"/>
      <c r="C264" s="24"/>
      <c r="D264" s="24"/>
    </row>
    <row r="265" spans="1:4" ht="18" x14ac:dyDescent="0.3">
      <c r="A265" s="25"/>
      <c r="B265" s="25"/>
      <c r="C265" s="25"/>
      <c r="D265" s="25"/>
    </row>
    <row r="266" spans="1:4" x14ac:dyDescent="0.3">
      <c r="A266" s="26"/>
      <c r="B266" s="26"/>
      <c r="C266" s="26"/>
      <c r="D266" s="26"/>
    </row>
    <row r="267" spans="1:4" x14ac:dyDescent="0.3">
      <c r="A267" s="26"/>
      <c r="B267" s="26"/>
      <c r="C267" s="26"/>
      <c r="D267" s="26"/>
    </row>
    <row r="268" spans="1:4" x14ac:dyDescent="0.3">
      <c r="A268" s="26"/>
      <c r="B268" s="26"/>
      <c r="C268" s="26"/>
      <c r="D268" s="26"/>
    </row>
    <row r="269" spans="1:4" x14ac:dyDescent="0.3">
      <c r="A269" s="26"/>
      <c r="B269" s="26"/>
      <c r="C269" s="26"/>
      <c r="D269" s="26"/>
    </row>
    <row r="270" spans="1:4" x14ac:dyDescent="0.3">
      <c r="A270" s="26"/>
      <c r="B270" s="26"/>
      <c r="C270" s="26"/>
      <c r="D270" s="26"/>
    </row>
    <row r="271" spans="1:4" x14ac:dyDescent="0.3">
      <c r="A271" s="26"/>
      <c r="B271" s="26"/>
      <c r="C271" s="26"/>
      <c r="D271" s="26"/>
    </row>
    <row r="272" spans="1:4" ht="25.2" x14ac:dyDescent="0.3">
      <c r="A272" s="23"/>
      <c r="B272" s="23"/>
      <c r="C272" s="23"/>
      <c r="D272" s="23"/>
    </row>
    <row r="273" spans="1:4" ht="22.8" x14ac:dyDescent="0.3">
      <c r="A273" s="24"/>
      <c r="B273" s="24"/>
      <c r="C273" s="24"/>
      <c r="D273" s="24"/>
    </row>
    <row r="274" spans="1:4" ht="22.8" x14ac:dyDescent="0.3">
      <c r="A274" s="24"/>
      <c r="B274" s="24"/>
      <c r="C274" s="24"/>
      <c r="D274" s="24"/>
    </row>
    <row r="275" spans="1:4" ht="18" x14ac:dyDescent="0.3">
      <c r="A275" s="25"/>
      <c r="B275" s="25"/>
      <c r="C275" s="25"/>
      <c r="D275" s="25"/>
    </row>
    <row r="276" spans="1:4" x14ac:dyDescent="0.3">
      <c r="A276" s="26"/>
      <c r="B276" s="26"/>
      <c r="C276" s="26"/>
      <c r="D276" s="26"/>
    </row>
    <row r="277" spans="1:4" x14ac:dyDescent="0.3">
      <c r="A277" s="26"/>
      <c r="B277" s="26"/>
      <c r="C277" s="26"/>
      <c r="D277" s="26"/>
    </row>
    <row r="278" spans="1:4" x14ac:dyDescent="0.3">
      <c r="A278" s="26"/>
      <c r="B278" s="26"/>
      <c r="C278" s="26"/>
      <c r="D278" s="26"/>
    </row>
    <row r="279" spans="1:4" x14ac:dyDescent="0.3">
      <c r="A279" s="26"/>
      <c r="B279" s="26"/>
      <c r="C279" s="26"/>
      <c r="D279" s="26"/>
    </row>
    <row r="280" spans="1:4" x14ac:dyDescent="0.3">
      <c r="A280" s="26"/>
      <c r="B280" s="26"/>
      <c r="C280" s="26"/>
      <c r="D280" s="26"/>
    </row>
    <row r="281" spans="1:4" x14ac:dyDescent="0.3">
      <c r="A281" s="26"/>
      <c r="B281" s="26"/>
      <c r="C281" s="26"/>
      <c r="D281" s="26"/>
    </row>
    <row r="282" spans="1:4" ht="25.2" x14ac:dyDescent="0.3">
      <c r="A282" s="23"/>
      <c r="B282" s="23"/>
      <c r="C282" s="23"/>
      <c r="D282" s="23"/>
    </row>
    <row r="283" spans="1:4" ht="22.8" x14ac:dyDescent="0.3">
      <c r="A283" s="24"/>
      <c r="B283" s="24"/>
      <c r="C283" s="24"/>
      <c r="D283" s="24"/>
    </row>
    <row r="284" spans="1:4" ht="22.8" x14ac:dyDescent="0.3">
      <c r="A284" s="24"/>
      <c r="B284" s="24"/>
      <c r="C284" s="24"/>
      <c r="D284" s="24"/>
    </row>
    <row r="285" spans="1:4" ht="18" x14ac:dyDescent="0.3">
      <c r="A285" s="25"/>
      <c r="B285" s="25"/>
      <c r="C285" s="25"/>
      <c r="D285" s="25"/>
    </row>
    <row r="286" spans="1:4" x14ac:dyDescent="0.3">
      <c r="A286" s="26"/>
      <c r="B286" s="26"/>
      <c r="C286" s="26"/>
      <c r="D286" s="26"/>
    </row>
    <row r="287" spans="1:4" x14ac:dyDescent="0.3">
      <c r="A287" s="26"/>
      <c r="B287" s="26"/>
      <c r="C287" s="26"/>
      <c r="D287" s="26"/>
    </row>
    <row r="288" spans="1:4" x14ac:dyDescent="0.3">
      <c r="A288" s="26"/>
      <c r="B288" s="26"/>
      <c r="C288" s="26"/>
      <c r="D288" s="26"/>
    </row>
    <row r="289" spans="1:4" x14ac:dyDescent="0.3">
      <c r="A289" s="26"/>
      <c r="B289" s="26"/>
      <c r="C289" s="26"/>
      <c r="D289" s="26"/>
    </row>
    <row r="290" spans="1:4" x14ac:dyDescent="0.3">
      <c r="A290" s="26"/>
      <c r="B290" s="26"/>
      <c r="C290" s="26"/>
      <c r="D290" s="26"/>
    </row>
    <row r="291" spans="1:4" x14ac:dyDescent="0.3">
      <c r="A291" s="26"/>
      <c r="B291" s="26"/>
      <c r="C291" s="26"/>
      <c r="D291" s="26"/>
    </row>
    <row r="292" spans="1:4" ht="25.2" x14ac:dyDescent="0.3">
      <c r="A292" s="23"/>
      <c r="B292" s="23"/>
      <c r="C292" s="23"/>
      <c r="D292" s="23"/>
    </row>
    <row r="293" spans="1:4" ht="22.8" x14ac:dyDescent="0.3">
      <c r="A293" s="24"/>
      <c r="B293" s="24"/>
      <c r="C293" s="24"/>
      <c r="D293" s="24"/>
    </row>
    <row r="294" spans="1:4" ht="22.8" x14ac:dyDescent="0.3">
      <c r="A294" s="24"/>
      <c r="B294" s="24"/>
      <c r="C294" s="24"/>
      <c r="D294" s="24"/>
    </row>
    <row r="295" spans="1:4" ht="18" x14ac:dyDescent="0.3">
      <c r="A295" s="25"/>
      <c r="B295" s="25"/>
      <c r="C295" s="25"/>
      <c r="D295" s="25"/>
    </row>
    <row r="296" spans="1:4" x14ac:dyDescent="0.3">
      <c r="A296" s="26"/>
      <c r="B296" s="26"/>
      <c r="C296" s="26"/>
      <c r="D296" s="26"/>
    </row>
    <row r="297" spans="1:4" x14ac:dyDescent="0.3">
      <c r="A297" s="26"/>
      <c r="B297" s="26"/>
      <c r="C297" s="26"/>
      <c r="D297" s="26"/>
    </row>
    <row r="298" spans="1:4" x14ac:dyDescent="0.3">
      <c r="A298" s="26"/>
      <c r="B298" s="26"/>
      <c r="C298" s="26"/>
      <c r="D298" s="26"/>
    </row>
    <row r="299" spans="1:4" x14ac:dyDescent="0.3">
      <c r="A299" s="26"/>
      <c r="B299" s="26"/>
      <c r="C299" s="26"/>
      <c r="D299" s="26"/>
    </row>
    <row r="300" spans="1:4" x14ac:dyDescent="0.3">
      <c r="A300" s="26"/>
      <c r="B300" s="26"/>
      <c r="C300" s="26"/>
      <c r="D300" s="26"/>
    </row>
    <row r="301" spans="1:4" x14ac:dyDescent="0.3">
      <c r="A301" s="26"/>
      <c r="B301" s="26"/>
      <c r="C301" s="26"/>
      <c r="D301" s="26"/>
    </row>
    <row r="302" spans="1:4" ht="25.2" x14ac:dyDescent="0.3">
      <c r="A302" s="23"/>
      <c r="B302" s="23"/>
      <c r="C302" s="23"/>
      <c r="D302" s="23"/>
    </row>
    <row r="303" spans="1:4" ht="22.8" x14ac:dyDescent="0.3">
      <c r="A303" s="24"/>
      <c r="B303" s="24"/>
      <c r="C303" s="24"/>
      <c r="D303" s="24"/>
    </row>
    <row r="304" spans="1:4" ht="22.8" x14ac:dyDescent="0.3">
      <c r="A304" s="24"/>
      <c r="B304" s="24"/>
      <c r="C304" s="24"/>
      <c r="D304" s="24"/>
    </row>
    <row r="305" spans="1:4" ht="18" x14ac:dyDescent="0.3">
      <c r="A305" s="25"/>
      <c r="B305" s="25"/>
      <c r="C305" s="25"/>
      <c r="D305" s="25"/>
    </row>
    <row r="306" spans="1:4" x14ac:dyDescent="0.3">
      <c r="A306" s="26"/>
      <c r="B306" s="26"/>
      <c r="C306" s="26"/>
      <c r="D306" s="26"/>
    </row>
    <row r="307" spans="1:4" x14ac:dyDescent="0.3">
      <c r="A307" s="26"/>
      <c r="B307" s="26"/>
      <c r="C307" s="26"/>
      <c r="D307" s="26"/>
    </row>
    <row r="308" spans="1:4" x14ac:dyDescent="0.3">
      <c r="A308" s="26"/>
      <c r="B308" s="26"/>
      <c r="C308" s="26"/>
      <c r="D308" s="26"/>
    </row>
    <row r="309" spans="1:4" x14ac:dyDescent="0.3">
      <c r="A309" s="26"/>
      <c r="B309" s="26"/>
      <c r="C309" s="26"/>
      <c r="D309" s="26"/>
    </row>
    <row r="310" spans="1:4" x14ac:dyDescent="0.3">
      <c r="A310" s="26"/>
      <c r="B310" s="26"/>
      <c r="C310" s="26"/>
      <c r="D310" s="26"/>
    </row>
    <row r="311" spans="1:4" x14ac:dyDescent="0.3">
      <c r="A311" s="26"/>
      <c r="B311" s="26"/>
      <c r="C311" s="26"/>
      <c r="D311" s="26"/>
    </row>
    <row r="312" spans="1:4" ht="25.2" x14ac:dyDescent="0.3">
      <c r="A312" s="23"/>
      <c r="B312" s="23"/>
      <c r="C312" s="23"/>
      <c r="D312" s="23"/>
    </row>
    <row r="313" spans="1:4" ht="22.8" x14ac:dyDescent="0.3">
      <c r="A313" s="24"/>
      <c r="B313" s="24"/>
      <c r="C313" s="24"/>
      <c r="D313" s="24"/>
    </row>
    <row r="314" spans="1:4" ht="22.8" x14ac:dyDescent="0.3">
      <c r="A314" s="24"/>
      <c r="B314" s="24"/>
      <c r="C314" s="24"/>
      <c r="D314" s="24"/>
    </row>
    <row r="315" spans="1:4" ht="18" x14ac:dyDescent="0.3">
      <c r="A315" s="25"/>
      <c r="B315" s="25"/>
      <c r="C315" s="25"/>
      <c r="D315" s="25"/>
    </row>
    <row r="316" spans="1:4" x14ac:dyDescent="0.3">
      <c r="A316" s="26"/>
      <c r="B316" s="26"/>
      <c r="C316" s="26"/>
      <c r="D316" s="26"/>
    </row>
    <row r="317" spans="1:4" x14ac:dyDescent="0.3">
      <c r="A317" s="26"/>
      <c r="B317" s="26"/>
      <c r="C317" s="26"/>
      <c r="D317" s="26"/>
    </row>
    <row r="318" spans="1:4" x14ac:dyDescent="0.3">
      <c r="A318" s="26"/>
      <c r="B318" s="26"/>
      <c r="C318" s="26"/>
      <c r="D318" s="26"/>
    </row>
    <row r="319" spans="1:4" x14ac:dyDescent="0.3">
      <c r="A319" s="26"/>
      <c r="B319" s="26"/>
      <c r="C319" s="26"/>
      <c r="D319" s="26"/>
    </row>
    <row r="320" spans="1:4" x14ac:dyDescent="0.3">
      <c r="A320" s="26"/>
      <c r="B320" s="26"/>
      <c r="C320" s="26"/>
      <c r="D320" s="26"/>
    </row>
    <row r="321" spans="1:4" x14ac:dyDescent="0.3">
      <c r="A321" s="26"/>
      <c r="B321" s="26"/>
      <c r="C321" s="26"/>
      <c r="D321" s="26"/>
    </row>
    <row r="322" spans="1:4" ht="25.2" x14ac:dyDescent="0.3">
      <c r="A322" s="23"/>
      <c r="B322" s="23"/>
      <c r="C322" s="23"/>
      <c r="D322" s="23"/>
    </row>
    <row r="323" spans="1:4" ht="22.8" x14ac:dyDescent="0.3">
      <c r="A323" s="24"/>
      <c r="B323" s="24"/>
      <c r="C323" s="24"/>
      <c r="D323" s="24"/>
    </row>
    <row r="324" spans="1:4" ht="22.8" x14ac:dyDescent="0.3">
      <c r="A324" s="24"/>
      <c r="B324" s="24"/>
      <c r="C324" s="24"/>
      <c r="D324" s="24"/>
    </row>
    <row r="325" spans="1:4" ht="18" x14ac:dyDescent="0.3">
      <c r="A325" s="25"/>
      <c r="B325" s="25"/>
      <c r="C325" s="25"/>
      <c r="D325" s="25"/>
    </row>
    <row r="326" spans="1:4" x14ac:dyDescent="0.3">
      <c r="A326" s="26"/>
      <c r="B326" s="26"/>
      <c r="C326" s="26"/>
      <c r="D326" s="26"/>
    </row>
    <row r="327" spans="1:4" x14ac:dyDescent="0.3">
      <c r="A327" s="26"/>
      <c r="B327" s="26"/>
      <c r="C327" s="26"/>
      <c r="D327" s="26"/>
    </row>
    <row r="328" spans="1:4" x14ac:dyDescent="0.3">
      <c r="A328" s="26"/>
      <c r="B328" s="26"/>
      <c r="C328" s="26"/>
      <c r="D328" s="26"/>
    </row>
    <row r="329" spans="1:4" x14ac:dyDescent="0.3">
      <c r="A329" s="26"/>
      <c r="B329" s="26"/>
      <c r="C329" s="26"/>
      <c r="D329" s="26"/>
    </row>
    <row r="330" spans="1:4" x14ac:dyDescent="0.3">
      <c r="A330" s="26"/>
      <c r="B330" s="26"/>
      <c r="C330" s="26"/>
      <c r="D330" s="26"/>
    </row>
    <row r="331" spans="1:4" x14ac:dyDescent="0.3">
      <c r="A331" s="26"/>
      <c r="B331" s="26"/>
      <c r="C331" s="26"/>
      <c r="D331" s="26"/>
    </row>
    <row r="332" spans="1:4" ht="25.2" x14ac:dyDescent="0.3">
      <c r="A332" s="23"/>
      <c r="B332" s="23"/>
      <c r="C332" s="23"/>
      <c r="D332" s="23"/>
    </row>
    <row r="333" spans="1:4" ht="22.8" x14ac:dyDescent="0.3">
      <c r="A333" s="24"/>
      <c r="B333" s="24"/>
      <c r="C333" s="24"/>
      <c r="D333" s="24"/>
    </row>
    <row r="334" spans="1:4" ht="22.8" x14ac:dyDescent="0.3">
      <c r="A334" s="24"/>
      <c r="B334" s="24"/>
      <c r="C334" s="24"/>
      <c r="D334" s="24"/>
    </row>
    <row r="335" spans="1:4" ht="18" x14ac:dyDescent="0.3">
      <c r="A335" s="25"/>
      <c r="B335" s="25"/>
      <c r="C335" s="25"/>
      <c r="D335" s="25"/>
    </row>
    <row r="336" spans="1:4" x14ac:dyDescent="0.3">
      <c r="A336" s="26"/>
      <c r="B336" s="26"/>
      <c r="C336" s="26"/>
      <c r="D336" s="26"/>
    </row>
    <row r="337" spans="1:4" x14ac:dyDescent="0.3">
      <c r="A337" s="26"/>
      <c r="B337" s="26"/>
      <c r="C337" s="26"/>
      <c r="D337" s="26"/>
    </row>
    <row r="338" spans="1:4" x14ac:dyDescent="0.3">
      <c r="A338" s="26"/>
      <c r="B338" s="26"/>
      <c r="C338" s="26"/>
      <c r="D338" s="26"/>
    </row>
    <row r="339" spans="1:4" x14ac:dyDescent="0.3">
      <c r="A339" s="26"/>
      <c r="B339" s="26"/>
      <c r="C339" s="26"/>
      <c r="D339" s="26"/>
    </row>
    <row r="340" spans="1:4" x14ac:dyDescent="0.3">
      <c r="A340" s="26"/>
      <c r="B340" s="26"/>
      <c r="C340" s="26"/>
      <c r="D340" s="26"/>
    </row>
    <row r="341" spans="1:4" x14ac:dyDescent="0.3">
      <c r="A341" s="26"/>
      <c r="B341" s="26"/>
      <c r="C341" s="26"/>
      <c r="D341" s="26"/>
    </row>
    <row r="342" spans="1:4" ht="25.2" x14ac:dyDescent="0.3">
      <c r="A342" s="23"/>
      <c r="B342" s="23"/>
      <c r="C342" s="23"/>
      <c r="D342" s="23"/>
    </row>
    <row r="343" spans="1:4" ht="22.8" x14ac:dyDescent="0.3">
      <c r="A343" s="24"/>
      <c r="B343" s="24"/>
      <c r="C343" s="24"/>
      <c r="D343" s="24"/>
    </row>
    <row r="344" spans="1:4" ht="22.8" x14ac:dyDescent="0.3">
      <c r="A344" s="24"/>
      <c r="B344" s="24"/>
      <c r="C344" s="24"/>
      <c r="D344" s="24"/>
    </row>
    <row r="345" spans="1:4" ht="18" x14ac:dyDescent="0.3">
      <c r="A345" s="25"/>
      <c r="B345" s="25"/>
      <c r="C345" s="25"/>
      <c r="D345" s="25"/>
    </row>
    <row r="346" spans="1:4" x14ac:dyDescent="0.3">
      <c r="A346" s="26"/>
      <c r="B346" s="26"/>
      <c r="C346" s="26"/>
      <c r="D346" s="26"/>
    </row>
    <row r="347" spans="1:4" x14ac:dyDescent="0.3">
      <c r="A347" s="26"/>
      <c r="B347" s="26"/>
      <c r="C347" s="26"/>
      <c r="D347" s="26"/>
    </row>
    <row r="348" spans="1:4" x14ac:dyDescent="0.3">
      <c r="A348" s="26"/>
      <c r="B348" s="26"/>
      <c r="C348" s="26"/>
      <c r="D348" s="26"/>
    </row>
    <row r="349" spans="1:4" x14ac:dyDescent="0.3">
      <c r="A349" s="26"/>
      <c r="B349" s="26"/>
      <c r="C349" s="26"/>
      <c r="D349" s="26"/>
    </row>
    <row r="350" spans="1:4" x14ac:dyDescent="0.3">
      <c r="A350" s="26"/>
      <c r="B350" s="26"/>
      <c r="C350" s="26"/>
      <c r="D350" s="26"/>
    </row>
    <row r="351" spans="1:4" x14ac:dyDescent="0.3">
      <c r="A351" s="26"/>
      <c r="B351" s="26"/>
      <c r="C351" s="26"/>
      <c r="D351" s="26"/>
    </row>
    <row r="352" spans="1:4" ht="25.2" x14ac:dyDescent="0.3">
      <c r="A352" s="23"/>
      <c r="B352" s="23"/>
      <c r="C352" s="23"/>
      <c r="D352" s="23"/>
    </row>
    <row r="353" spans="1:4" ht="22.8" x14ac:dyDescent="0.3">
      <c r="A353" s="24"/>
      <c r="B353" s="24"/>
      <c r="C353" s="24"/>
      <c r="D353" s="24"/>
    </row>
    <row r="354" spans="1:4" ht="22.8" x14ac:dyDescent="0.3">
      <c r="A354" s="24"/>
      <c r="B354" s="24"/>
      <c r="C354" s="24"/>
      <c r="D354" s="24"/>
    </row>
    <row r="355" spans="1:4" ht="18" x14ac:dyDescent="0.3">
      <c r="A355" s="25"/>
      <c r="B355" s="25"/>
      <c r="C355" s="25"/>
      <c r="D355" s="25"/>
    </row>
  </sheetData>
  <mergeCells count="124">
    <mergeCell ref="A344:D344"/>
    <mergeCell ref="A352:D352"/>
    <mergeCell ref="A353:D353"/>
    <mergeCell ref="A354:D354"/>
    <mergeCell ref="A324:D324"/>
    <mergeCell ref="A332:D332"/>
    <mergeCell ref="A333:D333"/>
    <mergeCell ref="A334:D334"/>
    <mergeCell ref="A342:D342"/>
    <mergeCell ref="A343:D343"/>
    <mergeCell ref="A304:D304"/>
    <mergeCell ref="A312:D312"/>
    <mergeCell ref="A313:D313"/>
    <mergeCell ref="A314:D314"/>
    <mergeCell ref="A322:D322"/>
    <mergeCell ref="A323:D323"/>
    <mergeCell ref="A284:D284"/>
    <mergeCell ref="A292:D292"/>
    <mergeCell ref="A293:D293"/>
    <mergeCell ref="A294:D294"/>
    <mergeCell ref="A302:D302"/>
    <mergeCell ref="A303:D303"/>
    <mergeCell ref="A264:D264"/>
    <mergeCell ref="A272:D272"/>
    <mergeCell ref="A273:D273"/>
    <mergeCell ref="A274:D274"/>
    <mergeCell ref="A282:D282"/>
    <mergeCell ref="A283:D283"/>
    <mergeCell ref="A244:D244"/>
    <mergeCell ref="A252:D252"/>
    <mergeCell ref="A253:D253"/>
    <mergeCell ref="A254:D254"/>
    <mergeCell ref="A262:D262"/>
    <mergeCell ref="A263:D263"/>
    <mergeCell ref="A224:D224"/>
    <mergeCell ref="A232:D232"/>
    <mergeCell ref="A233:D233"/>
    <mergeCell ref="A234:D234"/>
    <mergeCell ref="A242:D242"/>
    <mergeCell ref="A243:D243"/>
    <mergeCell ref="A204:D204"/>
    <mergeCell ref="A212:D212"/>
    <mergeCell ref="A213:D213"/>
    <mergeCell ref="A214:D214"/>
    <mergeCell ref="A222:D222"/>
    <mergeCell ref="A223:D223"/>
    <mergeCell ref="A184:D184"/>
    <mergeCell ref="A192:D192"/>
    <mergeCell ref="A193:D193"/>
    <mergeCell ref="A194:D194"/>
    <mergeCell ref="A202:D202"/>
    <mergeCell ref="A203:D203"/>
    <mergeCell ref="A164:D164"/>
    <mergeCell ref="A172:D172"/>
    <mergeCell ref="A173:D173"/>
    <mergeCell ref="A174:D174"/>
    <mergeCell ref="A182:D182"/>
    <mergeCell ref="A183:D183"/>
    <mergeCell ref="B145:C145"/>
    <mergeCell ref="A152:D152"/>
    <mergeCell ref="A153:D153"/>
    <mergeCell ref="A154:D154"/>
    <mergeCell ref="A162:D162"/>
    <mergeCell ref="A163:D163"/>
    <mergeCell ref="A133:D133"/>
    <mergeCell ref="A134:D134"/>
    <mergeCell ref="B135:C135"/>
    <mergeCell ref="A142:D142"/>
    <mergeCell ref="A143:D143"/>
    <mergeCell ref="A144:D144"/>
    <mergeCell ref="B115:C115"/>
    <mergeCell ref="A122:D122"/>
    <mergeCell ref="A123:D123"/>
    <mergeCell ref="A124:D124"/>
    <mergeCell ref="B125:C125"/>
    <mergeCell ref="A132:D132"/>
    <mergeCell ref="A103:D103"/>
    <mergeCell ref="A104:D104"/>
    <mergeCell ref="B105:C105"/>
    <mergeCell ref="A112:D112"/>
    <mergeCell ref="A113:D113"/>
    <mergeCell ref="A114:D114"/>
    <mergeCell ref="B85:C85"/>
    <mergeCell ref="A92:D92"/>
    <mergeCell ref="A93:D93"/>
    <mergeCell ref="A94:D94"/>
    <mergeCell ref="B95:C95"/>
    <mergeCell ref="A102:D102"/>
    <mergeCell ref="A73:D73"/>
    <mergeCell ref="A74:D74"/>
    <mergeCell ref="B75:C75"/>
    <mergeCell ref="A82:D82"/>
    <mergeCell ref="A83:D83"/>
    <mergeCell ref="A84:D84"/>
    <mergeCell ref="B55:C55"/>
    <mergeCell ref="A62:D62"/>
    <mergeCell ref="A63:D63"/>
    <mergeCell ref="A64:D64"/>
    <mergeCell ref="B65:C65"/>
    <mergeCell ref="A72:D72"/>
    <mergeCell ref="A43:D43"/>
    <mergeCell ref="A44:D44"/>
    <mergeCell ref="B45:C45"/>
    <mergeCell ref="A52:D52"/>
    <mergeCell ref="A53:D53"/>
    <mergeCell ref="A54:D54"/>
    <mergeCell ref="B25:C25"/>
    <mergeCell ref="A32:D32"/>
    <mergeCell ref="A33:D33"/>
    <mergeCell ref="A34:D34"/>
    <mergeCell ref="B35:C35"/>
    <mergeCell ref="A42:D42"/>
    <mergeCell ref="A13:D13"/>
    <mergeCell ref="A14:D14"/>
    <mergeCell ref="B15:C15"/>
    <mergeCell ref="A22:D22"/>
    <mergeCell ref="A23:D23"/>
    <mergeCell ref="A24:D24"/>
    <mergeCell ref="A1:D1"/>
    <mergeCell ref="A2:D2"/>
    <mergeCell ref="A3:D3"/>
    <mergeCell ref="A4:D4"/>
    <mergeCell ref="B5:C5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Sanskruti Dhole</cp:lastModifiedBy>
  <dcterms:created xsi:type="dcterms:W3CDTF">2015-06-05T18:17:20Z</dcterms:created>
  <dcterms:modified xsi:type="dcterms:W3CDTF">2026-03-11T02:33:32Z</dcterms:modified>
</cp:coreProperties>
</file>